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skripsi_forecasting\python\"/>
    </mc:Choice>
  </mc:AlternateContent>
  <xr:revisionPtr revIDLastSave="0" documentId="13_ncr:1_{5EB99351-E4C5-4A32-B8D7-BA5DFE7960EC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Format Per Produ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C393" i="1"/>
  <c r="C384" i="1"/>
  <c r="C375" i="1"/>
  <c r="C366" i="1"/>
  <c r="C357" i="1"/>
  <c r="C348" i="1"/>
  <c r="C339" i="1"/>
  <c r="C330" i="1"/>
  <c r="C321" i="1"/>
  <c r="C312" i="1"/>
  <c r="C303" i="1"/>
  <c r="C294" i="1"/>
  <c r="C285" i="1"/>
  <c r="C276" i="1"/>
  <c r="C267" i="1"/>
  <c r="C258" i="1"/>
  <c r="C249" i="1"/>
  <c r="C240" i="1"/>
  <c r="C231" i="1"/>
  <c r="C222" i="1"/>
  <c r="C213" i="1"/>
  <c r="C204" i="1"/>
  <c r="C195" i="1"/>
  <c r="C186" i="1"/>
  <c r="C177" i="1"/>
  <c r="C168" i="1"/>
  <c r="C159" i="1"/>
  <c r="C150" i="1"/>
  <c r="C141" i="1"/>
  <c r="C132" i="1"/>
  <c r="C123" i="1"/>
  <c r="C114" i="1"/>
  <c r="C105" i="1"/>
  <c r="C96" i="1"/>
  <c r="C87" i="1"/>
  <c r="C78" i="1"/>
  <c r="C69" i="1"/>
  <c r="C60" i="1"/>
  <c r="C51" i="1"/>
  <c r="C42" i="1"/>
  <c r="C33" i="1"/>
  <c r="C15" i="1"/>
  <c r="C6" i="1"/>
  <c r="C395" i="1"/>
  <c r="C394" i="1"/>
  <c r="C392" i="1"/>
  <c r="C391" i="1"/>
  <c r="C386" i="1"/>
  <c r="C385" i="1"/>
  <c r="C383" i="1"/>
  <c r="C382" i="1"/>
  <c r="C377" i="1"/>
  <c r="C376" i="1"/>
  <c r="C374" i="1"/>
  <c r="C373" i="1"/>
  <c r="C368" i="1"/>
  <c r="C367" i="1"/>
  <c r="C365" i="1"/>
  <c r="C364" i="1"/>
  <c r="C359" i="1"/>
  <c r="C358" i="1"/>
  <c r="C356" i="1"/>
  <c r="C355" i="1"/>
  <c r="C350" i="1"/>
  <c r="C349" i="1"/>
  <c r="C347" i="1"/>
  <c r="C346" i="1"/>
  <c r="C341" i="1"/>
  <c r="C340" i="1"/>
  <c r="C338" i="1"/>
  <c r="C337" i="1"/>
  <c r="C332" i="1"/>
  <c r="C331" i="1"/>
  <c r="C329" i="1"/>
  <c r="C328" i="1"/>
  <c r="C323" i="1"/>
  <c r="C322" i="1"/>
  <c r="C320" i="1"/>
  <c r="C319" i="1"/>
  <c r="C314" i="1"/>
  <c r="C313" i="1"/>
  <c r="C311" i="1"/>
  <c r="C310" i="1"/>
  <c r="C305" i="1"/>
  <c r="C304" i="1"/>
  <c r="C302" i="1"/>
  <c r="C301" i="1"/>
  <c r="C296" i="1"/>
  <c r="C295" i="1"/>
  <c r="C293" i="1"/>
  <c r="C292" i="1"/>
  <c r="C287" i="1"/>
  <c r="C286" i="1"/>
  <c r="C284" i="1"/>
  <c r="C283" i="1"/>
  <c r="C278" i="1"/>
  <c r="C277" i="1"/>
  <c r="C275" i="1"/>
  <c r="C274" i="1"/>
  <c r="C269" i="1"/>
  <c r="C268" i="1"/>
  <c r="C266" i="1"/>
  <c r="C265" i="1"/>
  <c r="C260" i="1"/>
  <c r="C259" i="1"/>
  <c r="C257" i="1"/>
  <c r="C256" i="1"/>
  <c r="C251" i="1"/>
  <c r="C250" i="1"/>
  <c r="C248" i="1"/>
  <c r="C247" i="1"/>
  <c r="C242" i="1"/>
  <c r="C241" i="1"/>
  <c r="C239" i="1"/>
  <c r="C238" i="1"/>
  <c r="C233" i="1"/>
  <c r="C232" i="1"/>
  <c r="C230" i="1"/>
  <c r="C229" i="1"/>
  <c r="C224" i="1"/>
  <c r="C223" i="1"/>
  <c r="C221" i="1"/>
  <c r="C220" i="1"/>
  <c r="C215" i="1"/>
  <c r="C214" i="1"/>
  <c r="C212" i="1"/>
  <c r="C211" i="1"/>
  <c r="C206" i="1"/>
  <c r="C205" i="1"/>
  <c r="C203" i="1"/>
  <c r="C202" i="1"/>
  <c r="C197" i="1"/>
  <c r="C196" i="1"/>
  <c r="C194" i="1"/>
  <c r="C193" i="1"/>
  <c r="C188" i="1"/>
  <c r="C187" i="1"/>
  <c r="C185" i="1"/>
  <c r="C184" i="1"/>
  <c r="C179" i="1"/>
  <c r="C178" i="1"/>
  <c r="C176" i="1"/>
  <c r="C175" i="1"/>
  <c r="C170" i="1"/>
  <c r="C169" i="1"/>
  <c r="C167" i="1"/>
  <c r="C166" i="1"/>
  <c r="C161" i="1"/>
  <c r="C160" i="1"/>
  <c r="C158" i="1"/>
  <c r="C157" i="1"/>
  <c r="C152" i="1"/>
  <c r="C151" i="1"/>
  <c r="C149" i="1"/>
  <c r="C148" i="1"/>
  <c r="C143" i="1"/>
  <c r="C142" i="1"/>
  <c r="C140" i="1"/>
  <c r="C139" i="1"/>
  <c r="C134" i="1"/>
  <c r="C133" i="1"/>
  <c r="C131" i="1"/>
  <c r="C130" i="1"/>
  <c r="C125" i="1"/>
  <c r="C124" i="1"/>
  <c r="C122" i="1"/>
  <c r="C121" i="1"/>
  <c r="C116" i="1"/>
  <c r="C115" i="1"/>
  <c r="C113" i="1"/>
  <c r="C112" i="1"/>
  <c r="C107" i="1"/>
  <c r="C106" i="1"/>
  <c r="C104" i="1"/>
  <c r="C103" i="1"/>
  <c r="C98" i="1"/>
  <c r="C97" i="1"/>
  <c r="C95" i="1"/>
  <c r="C94" i="1"/>
  <c r="C89" i="1"/>
  <c r="C88" i="1"/>
  <c r="C86" i="1"/>
  <c r="C85" i="1"/>
  <c r="C80" i="1"/>
  <c r="C79" i="1"/>
  <c r="C77" i="1"/>
  <c r="C76" i="1"/>
  <c r="C71" i="1"/>
  <c r="C70" i="1"/>
  <c r="C68" i="1"/>
  <c r="C67" i="1"/>
  <c r="C62" i="1"/>
  <c r="C61" i="1"/>
  <c r="C59" i="1"/>
  <c r="C58" i="1"/>
  <c r="C53" i="1"/>
  <c r="C52" i="1"/>
  <c r="C50" i="1"/>
  <c r="C49" i="1"/>
  <c r="C44" i="1"/>
  <c r="C43" i="1"/>
  <c r="C41" i="1"/>
  <c r="C40" i="1"/>
  <c r="C35" i="1"/>
  <c r="C34" i="1"/>
  <c r="C32" i="1"/>
  <c r="C31" i="1"/>
  <c r="C26" i="1"/>
  <c r="C25" i="1"/>
  <c r="C23" i="1"/>
  <c r="C22" i="1"/>
  <c r="C17" i="1"/>
  <c r="C16" i="1"/>
  <c r="C14" i="1"/>
  <c r="C13" i="1"/>
  <c r="C8" i="1"/>
  <c r="C7" i="1"/>
  <c r="C5" i="1"/>
  <c r="C4" i="1"/>
</calcChain>
</file>

<file path=xl/sharedStrings.xml><?xml version="1.0" encoding="utf-8"?>
<sst xmlns="http://schemas.openxmlformats.org/spreadsheetml/2006/main" count="924" uniqueCount="140">
  <si>
    <t>Potensi Hasil Produk (Yield):</t>
  </si>
  <si>
    <t>Bahan</t>
  </si>
  <si>
    <t>Jumlah per Botol (ml/unit)</t>
  </si>
  <si>
    <t>Jumlah untuk 100 Botol (ml/unit)</t>
  </si>
  <si>
    <t>Keterangan</t>
  </si>
  <si>
    <t>Botol 10 ml</t>
  </si>
  <si>
    <t>1 botol (10 ml)</t>
  </si>
  <si>
    <t>Botol 10 ml untuk setiap produk</t>
  </si>
  <si>
    <t>0,15 ml</t>
  </si>
  <si>
    <t>Diperlukan untuk setiap botol</t>
  </si>
  <si>
    <t>Sunflower Oil</t>
  </si>
  <si>
    <t>Sisa dari ukuran botol setelah essence oil</t>
  </si>
  <si>
    <t>1 stiker</t>
  </si>
  <si>
    <t>1 stiker per botol</t>
  </si>
  <si>
    <t>1 pump</t>
  </si>
  <si>
    <t>1 pump per botol</t>
  </si>
  <si>
    <t>Jumlah untuk 50 Botol (ml/unit)</t>
  </si>
  <si>
    <t>Botol 15 ml</t>
  </si>
  <si>
    <t>1 botol (15 ml)</t>
  </si>
  <si>
    <t>Botol 15 ml untuk setiap produk</t>
  </si>
  <si>
    <t>0,3 ml</t>
  </si>
  <si>
    <t>Jumlah untuk 25 Botol (ml/unit)</t>
  </si>
  <si>
    <t>Botol 30 ml</t>
  </si>
  <si>
    <t>1 botol (30 ml)</t>
  </si>
  <si>
    <t>Botol 30 ml untuk setiap produk</t>
  </si>
  <si>
    <t>0,6 ml</t>
  </si>
  <si>
    <t>Produk: CNF001 - 100 ml</t>
  </si>
  <si>
    <t>Jumlah untuk 20 Botol (ml/unit)</t>
  </si>
  <si>
    <t>Botol 100 ml</t>
  </si>
  <si>
    <t>1 botol (100 ml)</t>
  </si>
  <si>
    <t>Botol 100 ml untuk setiap produk</t>
  </si>
  <si>
    <t>0,75 ml</t>
  </si>
  <si>
    <t>Botol 250 ml</t>
  </si>
  <si>
    <t>1 botol (250 ml)</t>
  </si>
  <si>
    <t>Botol 250 ml untuk setiap produk</t>
  </si>
  <si>
    <t>0,1 ml</t>
  </si>
  <si>
    <t>0,2 ml</t>
  </si>
  <si>
    <t>Jumlah untuk 12.5 Botol (ml/unit)</t>
  </si>
  <si>
    <t>0,4 ml</t>
  </si>
  <si>
    <t>Jumlah untuk 6 Botol (ml/unit)</t>
  </si>
  <si>
    <t>Jumlah untuk 150 Botol (ml/unit)</t>
  </si>
  <si>
    <t>Jumlah untuk 75 Botol (ml/unit)</t>
  </si>
  <si>
    <t>Jumlah untuk 37 Botol (ml/unit)</t>
  </si>
  <si>
    <t>Jumlah untuk 33 Botol (ml/unit)</t>
  </si>
  <si>
    <t>0,25 ml</t>
  </si>
  <si>
    <t>Jumlah untuk 15 Botol (ml/unit)</t>
  </si>
  <si>
    <t>1 ml</t>
  </si>
  <si>
    <t>Pump Botol 10ml</t>
  </si>
  <si>
    <t>Pump Botol 15 ml</t>
  </si>
  <si>
    <t>Stiker CNF 10 ml</t>
  </si>
  <si>
    <t>Pump Botol 10 ml</t>
  </si>
  <si>
    <t>Pump Botol 30 ml</t>
  </si>
  <si>
    <t>Pump Botol 100ml</t>
  </si>
  <si>
    <t>Pump Botol 250 ml</t>
  </si>
  <si>
    <t>Stiker DS 10 ml</t>
  </si>
  <si>
    <t>Stiker CNF 250 ml</t>
  </si>
  <si>
    <t>Stiker CNF 100 ml</t>
  </si>
  <si>
    <t>Stiker CNF30 ml</t>
  </si>
  <si>
    <t>Stiker CNF 15 ml</t>
  </si>
  <si>
    <t>Stiker DS 15 ml</t>
  </si>
  <si>
    <t>Stiker DS 30 ml</t>
  </si>
  <si>
    <t>Stiker DS 100 ml</t>
  </si>
  <si>
    <t>Pump Botol 100 ml</t>
  </si>
  <si>
    <t>Stiker DS 250 ml</t>
  </si>
  <si>
    <t>Stiker GF 10 ml</t>
  </si>
  <si>
    <t>Stiker GF 15 ml</t>
  </si>
  <si>
    <t>Stiker GF 30 ml</t>
  </si>
  <si>
    <t>Stiker GF 100 ml</t>
  </si>
  <si>
    <t>Stiker GF 250 ml</t>
  </si>
  <si>
    <t>Stiker TC 10 ml</t>
  </si>
  <si>
    <t>Stiker TC 15 ml</t>
  </si>
  <si>
    <t>Stiker TC 30 ml</t>
  </si>
  <si>
    <t>Stiker TC 100 ml</t>
  </si>
  <si>
    <t>Stiker TC 250 ml</t>
  </si>
  <si>
    <t>Stiker IM 10 ml</t>
  </si>
  <si>
    <t xml:space="preserve">Pump Botol 10 ml </t>
  </si>
  <si>
    <t>Stiker IM 15 ml</t>
  </si>
  <si>
    <t>Stiker IM 30 ml</t>
  </si>
  <si>
    <t>Stiker IM 100 ml</t>
  </si>
  <si>
    <t>Stiker IM 250 ml</t>
  </si>
  <si>
    <t>Stiker JOY 10 ml</t>
  </si>
  <si>
    <t>Stiker JOY 15 ml</t>
  </si>
  <si>
    <t>Stiker JOY 30 ml</t>
  </si>
  <si>
    <t>Stiker JOY 100 ml</t>
  </si>
  <si>
    <t>Stiker JOY 250 ml</t>
  </si>
  <si>
    <t>Essence Oil CNF</t>
  </si>
  <si>
    <t>Produk: CNF - 10 ml</t>
  </si>
  <si>
    <t>Produk: CNF - 15 ml</t>
  </si>
  <si>
    <t>Produk: CNF - 30 ml</t>
  </si>
  <si>
    <t>Produk: CNF - 250 ml</t>
  </si>
  <si>
    <t>Essence Oil DS</t>
  </si>
  <si>
    <t>Produk: DS - 10 ml</t>
  </si>
  <si>
    <t>Produk: DS- 15 ml</t>
  </si>
  <si>
    <t>Produk: DS - 30 ml</t>
  </si>
  <si>
    <t>Produk: DS - 100 ml</t>
  </si>
  <si>
    <t>Produk: DS - 250 ml</t>
  </si>
  <si>
    <t>Produk: GF - 10 ml</t>
  </si>
  <si>
    <t>Essence Oil GF</t>
  </si>
  <si>
    <t>Produk: GF - 15 ml</t>
  </si>
  <si>
    <t>Produk: GF - 30 ml</t>
  </si>
  <si>
    <t>Produk: GF - 100 ml</t>
  </si>
  <si>
    <t>Produk: GF - 250 ml</t>
  </si>
  <si>
    <t>Produk: TC - 10 ml</t>
  </si>
  <si>
    <t>Essence Oil TC</t>
  </si>
  <si>
    <t>Produk: TC - 15 ml</t>
  </si>
  <si>
    <t>Produk: TC - 30 ml</t>
  </si>
  <si>
    <t>Produk: TC - 100 ml</t>
  </si>
  <si>
    <t>Produk: TC - 250 ml</t>
  </si>
  <si>
    <t>Produk: IM - 10 ml</t>
  </si>
  <si>
    <t>Essence Oil IM</t>
  </si>
  <si>
    <t>Produk: IM - 15 ml</t>
  </si>
  <si>
    <t>Produk: IM - 30 ml</t>
  </si>
  <si>
    <t>Produk: IM - 100 ml</t>
  </si>
  <si>
    <t>Produk: IM - 250 ml</t>
  </si>
  <si>
    <t>Produk: JOY - 10 ml</t>
  </si>
  <si>
    <t>Essence Oil JOY</t>
  </si>
  <si>
    <t>Produk: JOY - 15 ml</t>
  </si>
  <si>
    <t>Produk: JOY - 30 ml</t>
  </si>
  <si>
    <t>Produk: JOY - 100 ml</t>
  </si>
  <si>
    <t>Produk: JOY - 250 ml</t>
  </si>
  <si>
    <t>Produk: MYB - 10 ml</t>
  </si>
  <si>
    <t>Produk: MYB - 15 ml</t>
  </si>
  <si>
    <t>Produk: MYB - 30 ml</t>
  </si>
  <si>
    <t>Produk: MYB - 100 ml</t>
  </si>
  <si>
    <t>Produk: MYB - 250 ml</t>
  </si>
  <si>
    <t>Produk: LDR - 10 ml</t>
  </si>
  <si>
    <t>Produk: LDR - 15 ml</t>
  </si>
  <si>
    <t>Produk: LDR - 30 ml</t>
  </si>
  <si>
    <t>Produk: LDR - 100 ml</t>
  </si>
  <si>
    <t>Produk: LDR - 250 ml</t>
  </si>
  <si>
    <t>Produk: BB - 10 ml</t>
  </si>
  <si>
    <t>Produk: BB - 30 ml</t>
  </si>
  <si>
    <t>Produk: BB - 100 ml</t>
  </si>
  <si>
    <t>Produk: BB - 250 ml</t>
  </si>
  <si>
    <t>10 ml</t>
  </si>
  <si>
    <t>15 ml</t>
  </si>
  <si>
    <t>30 ml</t>
  </si>
  <si>
    <t>100 ml</t>
  </si>
  <si>
    <t>250 ml</t>
  </si>
  <si>
    <t>300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</si>
</sst>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5"/>
  <sheetViews>
    <sheetView tabSelected="1" topLeftCell="A28" workbookViewId="0">
      <selection activeCell="C25" sqref="C25"/>
    </sheetView>
  </sheetViews>
  <sheetFormatPr defaultRowHeight="14.5" x14ac:dyDescent="0.35"/>
  <cols>
    <col min="1" max="4" width="38" customWidth="1"/>
  </cols>
  <sheetData>
    <row r="1" spans="1:4" ht="15.5" x14ac:dyDescent="0.35">
      <c r="A1" s="1" t="s">
        <v>86</v>
      </c>
    </row>
    <row r="2" spans="1:4" x14ac:dyDescent="0.35">
      <c r="A2" t="s">
        <v>0</v>
      </c>
      <c r="B2" s="2">
        <v>100</v>
      </c>
    </row>
    <row r="3" spans="1:4" x14ac:dyDescent="0.3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5">
      <c r="A4" s="4" t="s">
        <v>5</v>
      </c>
      <c r="B4" s="4" t="s">
        <v>6</v>
      </c>
      <c r="C4" s="4" t="str">
        <f>B2&amp;" botol ("&amp;B2*10&amp;" ml)"</f>
        <v>100 botol (1000 ml)</v>
      </c>
      <c r="D4" s="4" t="s">
        <v>7</v>
      </c>
    </row>
    <row r="5" spans="1:4" x14ac:dyDescent="0.35">
      <c r="A5" s="4" t="s">
        <v>85</v>
      </c>
      <c r="B5" s="4" t="s">
        <v>8</v>
      </c>
      <c r="C5" s="4" t="str">
        <f>B2*0.15&amp;" ml"</f>
        <v>15 ml</v>
      </c>
      <c r="D5" s="4" t="s">
        <v>9</v>
      </c>
    </row>
    <row r="6" spans="1:4" x14ac:dyDescent="0.35">
      <c r="A6" s="4" t="s">
        <v>10</v>
      </c>
      <c r="B6" s="4" t="s">
        <v>134</v>
      </c>
      <c r="C6" s="4" t="str">
        <f>B2*10&amp;" ml"</f>
        <v>1000 ml</v>
      </c>
      <c r="D6" s="4" t="s">
        <v>11</v>
      </c>
    </row>
    <row r="7" spans="1:4" x14ac:dyDescent="0.35">
      <c r="A7" s="4" t="s">
        <v>49</v>
      </c>
      <c r="B7" s="4" t="s">
        <v>12</v>
      </c>
      <c r="C7" s="4" t="str">
        <f>B2&amp;" stiker"</f>
        <v>100 stiker</v>
      </c>
      <c r="D7" s="4" t="s">
        <v>13</v>
      </c>
    </row>
    <row r="8" spans="1:4" x14ac:dyDescent="0.35">
      <c r="A8" s="4" t="s">
        <v>50</v>
      </c>
      <c r="B8" s="4" t="s">
        <v>14</v>
      </c>
      <c r="C8" s="4" t="str">
        <f>B2&amp;" pump"</f>
        <v>100 pump</v>
      </c>
      <c r="D8" s="4" t="s">
        <v>15</v>
      </c>
    </row>
    <row r="10" spans="1:4" ht="15.5" x14ac:dyDescent="0.35">
      <c r="A10" s="1" t="s">
        <v>87</v>
      </c>
    </row>
    <row r="11" spans="1:4" x14ac:dyDescent="0.35">
      <c r="A11" t="s">
        <v>0</v>
      </c>
      <c r="B11" s="2">
        <v>50</v>
      </c>
    </row>
    <row r="12" spans="1:4" x14ac:dyDescent="0.35">
      <c r="A12" s="3" t="s">
        <v>1</v>
      </c>
      <c r="B12" s="3" t="s">
        <v>2</v>
      </c>
      <c r="C12" s="3" t="s">
        <v>16</v>
      </c>
      <c r="D12" s="3" t="s">
        <v>4</v>
      </c>
    </row>
    <row r="13" spans="1:4" x14ac:dyDescent="0.35">
      <c r="A13" s="4" t="s">
        <v>17</v>
      </c>
      <c r="B13" s="4" t="s">
        <v>18</v>
      </c>
      <c r="C13" s="4" t="str">
        <f>B11&amp;" botol ("&amp;B11*15&amp;" ml)"</f>
        <v>50 botol (750 ml)</v>
      </c>
      <c r="D13" s="4" t="s">
        <v>19</v>
      </c>
    </row>
    <row r="14" spans="1:4" x14ac:dyDescent="0.35">
      <c r="A14" s="4" t="s">
        <v>85</v>
      </c>
      <c r="B14" s="4" t="s">
        <v>20</v>
      </c>
      <c r="C14" s="4" t="str">
        <f>B11*0.3&amp;" ml"</f>
        <v>15 ml</v>
      </c>
      <c r="D14" s="4" t="s">
        <v>9</v>
      </c>
    </row>
    <row r="15" spans="1:4" x14ac:dyDescent="0.35">
      <c r="A15" s="4" t="s">
        <v>10</v>
      </c>
      <c r="B15" s="4" t="s">
        <v>135</v>
      </c>
      <c r="C15" s="4" t="str">
        <f>B11*50&amp;" ml"</f>
        <v>2500 ml</v>
      </c>
      <c r="D15" s="4" t="s">
        <v>11</v>
      </c>
    </row>
    <row r="16" spans="1:4" x14ac:dyDescent="0.35">
      <c r="A16" s="4" t="s">
        <v>58</v>
      </c>
      <c r="B16" s="4" t="s">
        <v>12</v>
      </c>
      <c r="C16" s="4" t="str">
        <f>B11&amp;" stiker"</f>
        <v>50 stiker</v>
      </c>
      <c r="D16" s="4" t="s">
        <v>13</v>
      </c>
    </row>
    <row r="17" spans="1:4" x14ac:dyDescent="0.35">
      <c r="A17" s="4" t="s">
        <v>48</v>
      </c>
      <c r="B17" s="4" t="s">
        <v>14</v>
      </c>
      <c r="C17" s="4" t="str">
        <f>B11&amp;" pump"</f>
        <v>50 pump</v>
      </c>
      <c r="D17" s="4" t="s">
        <v>15</v>
      </c>
    </row>
    <row r="19" spans="1:4" ht="15.5" x14ac:dyDescent="0.35">
      <c r="A19" s="1" t="s">
        <v>88</v>
      </c>
    </row>
    <row r="20" spans="1:4" x14ac:dyDescent="0.35">
      <c r="A20" t="s">
        <v>0</v>
      </c>
      <c r="B20" s="2">
        <v>25</v>
      </c>
    </row>
    <row r="21" spans="1:4" x14ac:dyDescent="0.35">
      <c r="A21" s="3" t="s">
        <v>1</v>
      </c>
      <c r="B21" s="3" t="s">
        <v>2</v>
      </c>
      <c r="C21" s="3" t="s">
        <v>21</v>
      </c>
      <c r="D21" s="3" t="s">
        <v>4</v>
      </c>
    </row>
    <row r="22" spans="1:4" x14ac:dyDescent="0.35">
      <c r="A22" s="4" t="s">
        <v>22</v>
      </c>
      <c r="B22" s="4" t="s">
        <v>23</v>
      </c>
      <c r="C22" s="4" t="str">
        <f>B20&amp;" botol ("&amp;B20*30&amp;" ml)"</f>
        <v>25 botol (750 ml)</v>
      </c>
      <c r="D22" s="4" t="s">
        <v>24</v>
      </c>
    </row>
    <row r="23" spans="1:4" x14ac:dyDescent="0.35">
      <c r="A23" s="4" t="s">
        <v>85</v>
      </c>
      <c r="B23" s="4" t="s">
        <v>25</v>
      </c>
      <c r="C23" s="4" t="str">
        <f>B20*0.6&amp;" ml"</f>
        <v>15 ml</v>
      </c>
      <c r="D23" s="4" t="s">
        <v>9</v>
      </c>
    </row>
    <row r="24" spans="1:4" x14ac:dyDescent="0.35">
      <c r="A24" s="4" t="s">
        <v>10</v>
      </c>
      <c r="B24" s="4" t="s">
        <v>136</v>
      </c>
      <c r="C24" s="4" t="str">
        <f>B20*30&amp;" ml"</f>
        <v>750 ml</v>
      </c>
      <c r="D24" s="4" t="s">
        <v>11</v>
      </c>
    </row>
    <row r="25" spans="1:4" x14ac:dyDescent="0.35">
      <c r="A25" s="4" t="s">
        <v>57</v>
      </c>
      <c r="B25" s="4" t="s">
        <v>12</v>
      </c>
      <c r="C25" s="4" t="str">
        <f>B20&amp;" stiker"</f>
        <v>25 stiker</v>
      </c>
      <c r="D25" s="4" t="s">
        <v>13</v>
      </c>
    </row>
    <row r="26" spans="1:4" x14ac:dyDescent="0.35">
      <c r="A26" s="4" t="s">
        <v>51</v>
      </c>
      <c r="B26" s="4" t="s">
        <v>14</v>
      </c>
      <c r="C26" s="4" t="str">
        <f>B20&amp;" pump"</f>
        <v>25 pump</v>
      </c>
      <c r="D26" s="4" t="s">
        <v>15</v>
      </c>
    </row>
    <row r="28" spans="1:4" ht="15.5" x14ac:dyDescent="0.35">
      <c r="A28" s="1" t="s">
        <v>26</v>
      </c>
    </row>
    <row r="29" spans="1:4" x14ac:dyDescent="0.35">
      <c r="A29" t="s">
        <v>0</v>
      </c>
      <c r="B29" s="2">
        <v>20</v>
      </c>
    </row>
    <row r="30" spans="1:4" x14ac:dyDescent="0.35">
      <c r="A30" s="3" t="s">
        <v>1</v>
      </c>
      <c r="B30" s="3" t="s">
        <v>2</v>
      </c>
      <c r="C30" s="3" t="s">
        <v>27</v>
      </c>
      <c r="D30" s="3" t="s">
        <v>4</v>
      </c>
    </row>
    <row r="31" spans="1:4" x14ac:dyDescent="0.35">
      <c r="A31" s="4" t="s">
        <v>28</v>
      </c>
      <c r="B31" s="4" t="s">
        <v>29</v>
      </c>
      <c r="C31" s="4" t="str">
        <f>B29&amp;" botol ("&amp;B29*100&amp;" ml)"</f>
        <v>20 botol (2000 ml)</v>
      </c>
      <c r="D31" s="4" t="s">
        <v>30</v>
      </c>
    </row>
    <row r="32" spans="1:4" x14ac:dyDescent="0.35">
      <c r="A32" s="4" t="s">
        <v>85</v>
      </c>
      <c r="B32" s="4" t="s">
        <v>31</v>
      </c>
      <c r="C32" s="4" t="str">
        <f>B29*0.75&amp;" ml"</f>
        <v>15 ml</v>
      </c>
      <c r="D32" s="4" t="s">
        <v>9</v>
      </c>
    </row>
    <row r="33" spans="1:4" x14ac:dyDescent="0.35">
      <c r="A33" s="4" t="s">
        <v>10</v>
      </c>
      <c r="B33" s="4" t="s">
        <v>137</v>
      </c>
      <c r="C33" s="4" t="str">
        <f>B29*100&amp;" ml"</f>
        <v>2000 ml</v>
      </c>
      <c r="D33" s="4" t="s">
        <v>11</v>
      </c>
    </row>
    <row r="34" spans="1:4" x14ac:dyDescent="0.35">
      <c r="A34" s="4" t="s">
        <v>56</v>
      </c>
      <c r="B34" s="4" t="s">
        <v>12</v>
      </c>
      <c r="C34" s="4" t="str">
        <f>B29&amp;" stiker"</f>
        <v>20 stiker</v>
      </c>
      <c r="D34" s="4" t="s">
        <v>13</v>
      </c>
    </row>
    <row r="35" spans="1:4" x14ac:dyDescent="0.35">
      <c r="A35" s="4" t="s">
        <v>52</v>
      </c>
      <c r="B35" s="4" t="s">
        <v>14</v>
      </c>
      <c r="C35" s="4" t="str">
        <f>B29&amp;" pump"</f>
        <v>20 pump</v>
      </c>
      <c r="D35" s="4" t="s">
        <v>15</v>
      </c>
    </row>
    <row r="37" spans="1:4" ht="15.5" x14ac:dyDescent="0.35">
      <c r="A37" s="1" t="s">
        <v>89</v>
      </c>
    </row>
    <row r="38" spans="1:4" x14ac:dyDescent="0.35">
      <c r="A38" t="s">
        <v>0</v>
      </c>
      <c r="B38" s="2">
        <v>20</v>
      </c>
    </row>
    <row r="39" spans="1:4" x14ac:dyDescent="0.35">
      <c r="A39" s="3" t="s">
        <v>1</v>
      </c>
      <c r="B39" s="3" t="s">
        <v>2</v>
      </c>
      <c r="C39" s="3" t="s">
        <v>27</v>
      </c>
      <c r="D39" s="3" t="s">
        <v>4</v>
      </c>
    </row>
    <row r="40" spans="1:4" x14ac:dyDescent="0.35">
      <c r="A40" s="4" t="s">
        <v>32</v>
      </c>
      <c r="B40" s="4" t="s">
        <v>33</v>
      </c>
      <c r="C40" s="4" t="str">
        <f>B38&amp;" botol ("&amp;B38*250&amp;" ml)"</f>
        <v>20 botol (5000 ml)</v>
      </c>
      <c r="D40" s="4" t="s">
        <v>34</v>
      </c>
    </row>
    <row r="41" spans="1:4" x14ac:dyDescent="0.35">
      <c r="A41" s="4" t="s">
        <v>85</v>
      </c>
      <c r="B41" s="4" t="s">
        <v>31</v>
      </c>
      <c r="C41" s="4" t="str">
        <f>B38*0.75&amp;" ml"</f>
        <v>15 ml</v>
      </c>
      <c r="D41" s="4" t="s">
        <v>9</v>
      </c>
    </row>
    <row r="42" spans="1:4" x14ac:dyDescent="0.35">
      <c r="A42" s="4" t="s">
        <v>10</v>
      </c>
      <c r="B42" s="4" t="s">
        <v>138</v>
      </c>
      <c r="C42" s="4" t="str">
        <f>B38*250&amp;" ml"</f>
        <v>5000 ml</v>
      </c>
      <c r="D42" s="4" t="s">
        <v>11</v>
      </c>
    </row>
    <row r="43" spans="1:4" x14ac:dyDescent="0.35">
      <c r="A43" s="4" t="s">
        <v>55</v>
      </c>
      <c r="B43" s="4" t="s">
        <v>12</v>
      </c>
      <c r="C43" s="4" t="str">
        <f>B38&amp;" stiker"</f>
        <v>20 stiker</v>
      </c>
      <c r="D43" s="4" t="s">
        <v>13</v>
      </c>
    </row>
    <row r="44" spans="1:4" x14ac:dyDescent="0.35">
      <c r="A44" s="4" t="s">
        <v>53</v>
      </c>
      <c r="B44" s="4" t="s">
        <v>14</v>
      </c>
      <c r="C44" s="4" t="str">
        <f>B38&amp;" pump"</f>
        <v>20 pump</v>
      </c>
      <c r="D44" s="4" t="s">
        <v>15</v>
      </c>
    </row>
    <row r="46" spans="1:4" ht="15.5" x14ac:dyDescent="0.35">
      <c r="A46" s="1" t="s">
        <v>91</v>
      </c>
    </row>
    <row r="47" spans="1:4" x14ac:dyDescent="0.35">
      <c r="A47" t="s">
        <v>0</v>
      </c>
      <c r="B47" s="2">
        <v>50</v>
      </c>
    </row>
    <row r="48" spans="1:4" x14ac:dyDescent="0.35">
      <c r="A48" s="3" t="s">
        <v>1</v>
      </c>
      <c r="B48" s="3" t="s">
        <v>2</v>
      </c>
      <c r="C48" s="3" t="s">
        <v>16</v>
      </c>
      <c r="D48" s="3" t="s">
        <v>4</v>
      </c>
    </row>
    <row r="49" spans="1:4" x14ac:dyDescent="0.35">
      <c r="A49" s="4" t="s">
        <v>5</v>
      </c>
      <c r="B49" s="4" t="s">
        <v>6</v>
      </c>
      <c r="C49" s="4" t="str">
        <f>B47&amp;" botol ("&amp;B47*10&amp;" ml)"</f>
        <v>50 botol (500 ml)</v>
      </c>
      <c r="D49" s="4" t="s">
        <v>7</v>
      </c>
    </row>
    <row r="50" spans="1:4" x14ac:dyDescent="0.35">
      <c r="A50" s="4" t="s">
        <v>90</v>
      </c>
      <c r="B50" s="4" t="s">
        <v>35</v>
      </c>
      <c r="C50" s="4" t="str">
        <f>B47*0.1&amp;" ml"</f>
        <v>5 ml</v>
      </c>
      <c r="D50" s="4" t="s">
        <v>9</v>
      </c>
    </row>
    <row r="51" spans="1:4" x14ac:dyDescent="0.35">
      <c r="A51" s="4" t="s">
        <v>10</v>
      </c>
      <c r="B51" s="4" t="s">
        <v>134</v>
      </c>
      <c r="C51" s="4" t="str">
        <f>B47*10&amp;" ml"</f>
        <v>500 ml</v>
      </c>
      <c r="D51" s="4" t="s">
        <v>11</v>
      </c>
    </row>
    <row r="52" spans="1:4" x14ac:dyDescent="0.35">
      <c r="A52" s="4" t="s">
        <v>54</v>
      </c>
      <c r="B52" s="4" t="s">
        <v>12</v>
      </c>
      <c r="C52" s="4" t="str">
        <f>B47&amp;" stiker"</f>
        <v>50 stiker</v>
      </c>
      <c r="D52" s="4" t="s">
        <v>13</v>
      </c>
    </row>
    <row r="53" spans="1:4" x14ac:dyDescent="0.35">
      <c r="A53" s="4" t="s">
        <v>47</v>
      </c>
      <c r="B53" s="4" t="s">
        <v>14</v>
      </c>
      <c r="C53" s="4" t="str">
        <f>B47&amp;" pump"</f>
        <v>50 pump</v>
      </c>
      <c r="D53" s="4" t="s">
        <v>15</v>
      </c>
    </row>
    <row r="55" spans="1:4" ht="15.5" x14ac:dyDescent="0.35">
      <c r="A55" s="1" t="s">
        <v>92</v>
      </c>
    </row>
    <row r="56" spans="1:4" x14ac:dyDescent="0.35">
      <c r="A56" t="s">
        <v>0</v>
      </c>
      <c r="B56" s="2">
        <v>25</v>
      </c>
    </row>
    <row r="57" spans="1:4" x14ac:dyDescent="0.35">
      <c r="A57" s="3" t="s">
        <v>1</v>
      </c>
      <c r="B57" s="3" t="s">
        <v>2</v>
      </c>
      <c r="C57" s="3" t="s">
        <v>21</v>
      </c>
      <c r="D57" s="3" t="s">
        <v>4</v>
      </c>
    </row>
    <row r="58" spans="1:4" x14ac:dyDescent="0.35">
      <c r="A58" s="4" t="s">
        <v>17</v>
      </c>
      <c r="B58" s="4" t="s">
        <v>18</v>
      </c>
      <c r="C58" s="4" t="str">
        <f>B56&amp;" botol ("&amp;B56*15&amp;" ml)"</f>
        <v>25 botol (375 ml)</v>
      </c>
      <c r="D58" s="4" t="s">
        <v>19</v>
      </c>
    </row>
    <row r="59" spans="1:4" x14ac:dyDescent="0.35">
      <c r="A59" s="4" t="s">
        <v>90</v>
      </c>
      <c r="B59" s="4" t="s">
        <v>36</v>
      </c>
      <c r="C59" s="4" t="str">
        <f>B56*0.2&amp;" ml"</f>
        <v>5 ml</v>
      </c>
      <c r="D59" s="4" t="s">
        <v>9</v>
      </c>
    </row>
    <row r="60" spans="1:4" x14ac:dyDescent="0.35">
      <c r="A60" s="4" t="s">
        <v>10</v>
      </c>
      <c r="B60" s="4" t="s">
        <v>135</v>
      </c>
      <c r="C60" s="4" t="str">
        <f>B56*15&amp;" ml"</f>
        <v>375 ml</v>
      </c>
      <c r="D60" s="4" t="s">
        <v>11</v>
      </c>
    </row>
    <row r="61" spans="1:4" x14ac:dyDescent="0.35">
      <c r="A61" s="4" t="s">
        <v>59</v>
      </c>
      <c r="B61" s="4" t="s">
        <v>12</v>
      </c>
      <c r="C61" s="4" t="str">
        <f>B56&amp;" stiker"</f>
        <v>25 stiker</v>
      </c>
      <c r="D61" s="4" t="s">
        <v>13</v>
      </c>
    </row>
    <row r="62" spans="1:4" x14ac:dyDescent="0.35">
      <c r="A62" s="4" t="s">
        <v>48</v>
      </c>
      <c r="B62" s="4" t="s">
        <v>14</v>
      </c>
      <c r="C62" s="4" t="str">
        <f>B56&amp;" pump"</f>
        <v>25 pump</v>
      </c>
      <c r="D62" s="4" t="s">
        <v>15</v>
      </c>
    </row>
    <row r="64" spans="1:4" ht="15.5" x14ac:dyDescent="0.35">
      <c r="A64" s="1" t="s">
        <v>93</v>
      </c>
    </row>
    <row r="65" spans="1:4" x14ac:dyDescent="0.35">
      <c r="A65" t="s">
        <v>0</v>
      </c>
      <c r="B65" s="2">
        <v>12.5</v>
      </c>
    </row>
    <row r="66" spans="1:4" x14ac:dyDescent="0.35">
      <c r="A66" s="3" t="s">
        <v>1</v>
      </c>
      <c r="B66" s="3" t="s">
        <v>2</v>
      </c>
      <c r="C66" s="3" t="s">
        <v>37</v>
      </c>
      <c r="D66" s="3" t="s">
        <v>4</v>
      </c>
    </row>
    <row r="67" spans="1:4" x14ac:dyDescent="0.35">
      <c r="A67" s="4" t="s">
        <v>22</v>
      </c>
      <c r="B67" s="4" t="s">
        <v>23</v>
      </c>
      <c r="C67" s="4" t="str">
        <f>B65&amp;" botol ("&amp;B65*30&amp;" ml)"</f>
        <v>12,5 botol (375 ml)</v>
      </c>
      <c r="D67" s="4" t="s">
        <v>24</v>
      </c>
    </row>
    <row r="68" spans="1:4" x14ac:dyDescent="0.35">
      <c r="A68" s="4" t="s">
        <v>90</v>
      </c>
      <c r="B68" s="4" t="s">
        <v>38</v>
      </c>
      <c r="C68" s="4" t="str">
        <f>B65*0.4&amp;" ml"</f>
        <v>5 ml</v>
      </c>
      <c r="D68" s="4" t="s">
        <v>9</v>
      </c>
    </row>
    <row r="69" spans="1:4" x14ac:dyDescent="0.35">
      <c r="A69" s="4" t="s">
        <v>10</v>
      </c>
      <c r="B69" s="4" t="s">
        <v>136</v>
      </c>
      <c r="C69" s="4" t="str">
        <f>B65*30&amp;" ml"</f>
        <v>375 ml</v>
      </c>
      <c r="D69" s="4" t="s">
        <v>11</v>
      </c>
    </row>
    <row r="70" spans="1:4" x14ac:dyDescent="0.35">
      <c r="A70" s="4" t="s">
        <v>60</v>
      </c>
      <c r="B70" s="4" t="s">
        <v>12</v>
      </c>
      <c r="C70" s="4" t="str">
        <f>B65&amp;" stiker"</f>
        <v>12,5 stiker</v>
      </c>
      <c r="D70" s="4" t="s">
        <v>13</v>
      </c>
    </row>
    <row r="71" spans="1:4" x14ac:dyDescent="0.35">
      <c r="A71" s="4" t="s">
        <v>51</v>
      </c>
      <c r="B71" s="4" t="s">
        <v>14</v>
      </c>
      <c r="C71" s="4" t="str">
        <f>B65&amp;" pump"</f>
        <v>12,5 pump</v>
      </c>
      <c r="D71" s="4" t="s">
        <v>15</v>
      </c>
    </row>
    <row r="73" spans="1:4" ht="15.5" x14ac:dyDescent="0.35">
      <c r="A73" s="1" t="s">
        <v>94</v>
      </c>
    </row>
    <row r="74" spans="1:4" x14ac:dyDescent="0.35">
      <c r="A74" t="s">
        <v>0</v>
      </c>
      <c r="B74" s="2">
        <v>6</v>
      </c>
    </row>
    <row r="75" spans="1:4" x14ac:dyDescent="0.35">
      <c r="A75" s="3" t="s">
        <v>1</v>
      </c>
      <c r="B75" s="3" t="s">
        <v>2</v>
      </c>
      <c r="C75" s="3" t="s">
        <v>39</v>
      </c>
      <c r="D75" s="3" t="s">
        <v>4</v>
      </c>
    </row>
    <row r="76" spans="1:4" x14ac:dyDescent="0.35">
      <c r="A76" s="4" t="s">
        <v>28</v>
      </c>
      <c r="B76" s="4" t="s">
        <v>29</v>
      </c>
      <c r="C76" s="4" t="str">
        <f>B74&amp;" botol ("&amp;B74*100&amp;" ml)"</f>
        <v>6 botol (600 ml)</v>
      </c>
      <c r="D76" s="4" t="s">
        <v>30</v>
      </c>
    </row>
    <row r="77" spans="1:4" x14ac:dyDescent="0.35">
      <c r="A77" s="4" t="s">
        <v>90</v>
      </c>
      <c r="B77" s="4" t="s">
        <v>31</v>
      </c>
      <c r="C77" s="4" t="str">
        <f>B74*0.75&amp;" ml"</f>
        <v>4,5 ml</v>
      </c>
      <c r="D77" s="4" t="s">
        <v>9</v>
      </c>
    </row>
    <row r="78" spans="1:4" x14ac:dyDescent="0.35">
      <c r="A78" s="4" t="s">
        <v>10</v>
      </c>
      <c r="B78" s="4" t="s">
        <v>137</v>
      </c>
      <c r="C78" s="4" t="str">
        <f>B74*100&amp;" ml"</f>
        <v>600 ml</v>
      </c>
      <c r="D78" s="4" t="s">
        <v>11</v>
      </c>
    </row>
    <row r="79" spans="1:4" x14ac:dyDescent="0.35">
      <c r="A79" s="4" t="s">
        <v>61</v>
      </c>
      <c r="B79" s="4" t="s">
        <v>12</v>
      </c>
      <c r="C79" s="4" t="str">
        <f>B74&amp;" stiker"</f>
        <v>6 stiker</v>
      </c>
      <c r="D79" s="4" t="s">
        <v>13</v>
      </c>
    </row>
    <row r="80" spans="1:4" x14ac:dyDescent="0.35">
      <c r="A80" s="4" t="s">
        <v>62</v>
      </c>
      <c r="B80" s="4" t="s">
        <v>14</v>
      </c>
      <c r="C80" s="4" t="str">
        <f>B74&amp;" pump"</f>
        <v>6 pump</v>
      </c>
      <c r="D80" s="4" t="s">
        <v>15</v>
      </c>
    </row>
    <row r="82" spans="1:4" ht="15.5" x14ac:dyDescent="0.35">
      <c r="A82" s="1" t="s">
        <v>95</v>
      </c>
    </row>
    <row r="83" spans="1:4" x14ac:dyDescent="0.35">
      <c r="A83" t="s">
        <v>0</v>
      </c>
      <c r="B83" s="2">
        <v>6</v>
      </c>
    </row>
    <row r="84" spans="1:4" x14ac:dyDescent="0.35">
      <c r="A84" s="3" t="s">
        <v>1</v>
      </c>
      <c r="B84" s="3" t="s">
        <v>2</v>
      </c>
      <c r="C84" s="3" t="s">
        <v>39</v>
      </c>
      <c r="D84" s="3" t="s">
        <v>4</v>
      </c>
    </row>
    <row r="85" spans="1:4" x14ac:dyDescent="0.35">
      <c r="A85" s="4" t="s">
        <v>32</v>
      </c>
      <c r="B85" s="4" t="s">
        <v>33</v>
      </c>
      <c r="C85" s="4" t="str">
        <f>B83&amp;" botol ("&amp;B83*250&amp;" ml)"</f>
        <v>6 botol (1500 ml)</v>
      </c>
      <c r="D85" s="4" t="s">
        <v>34</v>
      </c>
    </row>
    <row r="86" spans="1:4" x14ac:dyDescent="0.35">
      <c r="A86" s="4" t="s">
        <v>90</v>
      </c>
      <c r="B86" s="4" t="s">
        <v>31</v>
      </c>
      <c r="C86" s="4" t="str">
        <f>B83*0.75&amp;" ml"</f>
        <v>4,5 ml</v>
      </c>
      <c r="D86" s="4" t="s">
        <v>9</v>
      </c>
    </row>
    <row r="87" spans="1:4" x14ac:dyDescent="0.35">
      <c r="A87" s="4" t="s">
        <v>10</v>
      </c>
      <c r="B87" s="4" t="s">
        <v>139</v>
      </c>
      <c r="C87" s="4" t="str">
        <f>B83*300&amp;" ml"</f>
        <v>1800 ml</v>
      </c>
      <c r="D87" s="4" t="s">
        <v>11</v>
      </c>
    </row>
    <row r="88" spans="1:4" x14ac:dyDescent="0.35">
      <c r="A88" s="4" t="s">
        <v>63</v>
      </c>
      <c r="B88" s="4" t="s">
        <v>12</v>
      </c>
      <c r="C88" s="4" t="str">
        <f>B83&amp;" stiker"</f>
        <v>6 stiker</v>
      </c>
      <c r="D88" s="4" t="s">
        <v>13</v>
      </c>
    </row>
    <row r="89" spans="1:4" x14ac:dyDescent="0.35">
      <c r="A89" s="4" t="s">
        <v>53</v>
      </c>
      <c r="B89" s="4" t="s">
        <v>14</v>
      </c>
      <c r="C89" s="4" t="str">
        <f>B83&amp;" pump"</f>
        <v>6 pump</v>
      </c>
      <c r="D89" s="4" t="s">
        <v>15</v>
      </c>
    </row>
    <row r="91" spans="1:4" ht="15.5" x14ac:dyDescent="0.35">
      <c r="A91" s="1" t="s">
        <v>96</v>
      </c>
    </row>
    <row r="92" spans="1:4" x14ac:dyDescent="0.35">
      <c r="A92" t="s">
        <v>0</v>
      </c>
      <c r="B92" s="2">
        <v>150</v>
      </c>
    </row>
    <row r="93" spans="1:4" x14ac:dyDescent="0.35">
      <c r="A93" s="3" t="s">
        <v>1</v>
      </c>
      <c r="B93" s="3" t="s">
        <v>2</v>
      </c>
      <c r="C93" s="3" t="s">
        <v>40</v>
      </c>
      <c r="D93" s="3" t="s">
        <v>4</v>
      </c>
    </row>
    <row r="94" spans="1:4" x14ac:dyDescent="0.35">
      <c r="A94" s="4" t="s">
        <v>5</v>
      </c>
      <c r="B94" s="4" t="s">
        <v>6</v>
      </c>
      <c r="C94" s="4" t="str">
        <f>B92&amp;" botol ("&amp;B92*10&amp;" ml)"</f>
        <v>150 botol (1500 ml)</v>
      </c>
      <c r="D94" s="4" t="s">
        <v>7</v>
      </c>
    </row>
    <row r="95" spans="1:4" x14ac:dyDescent="0.35">
      <c r="A95" s="4" t="s">
        <v>97</v>
      </c>
      <c r="B95" s="4" t="s">
        <v>35</v>
      </c>
      <c r="C95" s="4" t="str">
        <f>B92*0.1&amp;" ml"</f>
        <v>15 ml</v>
      </c>
      <c r="D95" s="4" t="s">
        <v>9</v>
      </c>
    </row>
    <row r="96" spans="1:4" x14ac:dyDescent="0.35">
      <c r="A96" s="4" t="s">
        <v>10</v>
      </c>
      <c r="B96" s="4" t="s">
        <v>134</v>
      </c>
      <c r="C96" s="4" t="str">
        <f>B92*10&amp;" ml"</f>
        <v>1500 ml</v>
      </c>
      <c r="D96" s="4" t="s">
        <v>11</v>
      </c>
    </row>
    <row r="97" spans="1:4" x14ac:dyDescent="0.35">
      <c r="A97" s="4" t="s">
        <v>64</v>
      </c>
      <c r="B97" s="4" t="s">
        <v>12</v>
      </c>
      <c r="C97" s="4" t="str">
        <f>B92&amp;" stiker"</f>
        <v>150 stiker</v>
      </c>
      <c r="D97" s="4" t="s">
        <v>13</v>
      </c>
    </row>
    <row r="98" spans="1:4" x14ac:dyDescent="0.35">
      <c r="A98" s="4" t="s">
        <v>50</v>
      </c>
      <c r="B98" s="4" t="s">
        <v>14</v>
      </c>
      <c r="C98" s="4" t="str">
        <f>B92&amp;" pump"</f>
        <v>150 pump</v>
      </c>
      <c r="D98" s="4" t="s">
        <v>15</v>
      </c>
    </row>
    <row r="100" spans="1:4" ht="15.5" x14ac:dyDescent="0.35">
      <c r="A100" s="1" t="s">
        <v>98</v>
      </c>
    </row>
    <row r="101" spans="1:4" x14ac:dyDescent="0.35">
      <c r="A101" t="s">
        <v>0</v>
      </c>
      <c r="B101" s="2">
        <v>75</v>
      </c>
    </row>
    <row r="102" spans="1:4" x14ac:dyDescent="0.35">
      <c r="A102" s="3" t="s">
        <v>1</v>
      </c>
      <c r="B102" s="3" t="s">
        <v>2</v>
      </c>
      <c r="C102" s="3" t="s">
        <v>41</v>
      </c>
      <c r="D102" s="3" t="s">
        <v>4</v>
      </c>
    </row>
    <row r="103" spans="1:4" x14ac:dyDescent="0.35">
      <c r="A103" s="4" t="s">
        <v>17</v>
      </c>
      <c r="B103" s="4" t="s">
        <v>18</v>
      </c>
      <c r="C103" s="4" t="str">
        <f>B101&amp;" botol ("&amp;B101*15&amp;" ml)"</f>
        <v>75 botol (1125 ml)</v>
      </c>
      <c r="D103" s="4" t="s">
        <v>19</v>
      </c>
    </row>
    <row r="104" spans="1:4" x14ac:dyDescent="0.35">
      <c r="A104" s="4" t="s">
        <v>97</v>
      </c>
      <c r="B104" s="4" t="s">
        <v>36</v>
      </c>
      <c r="C104" s="4" t="str">
        <f>B101*0.2&amp;" ml"</f>
        <v>15 ml</v>
      </c>
      <c r="D104" s="4" t="s">
        <v>9</v>
      </c>
    </row>
    <row r="105" spans="1:4" x14ac:dyDescent="0.35">
      <c r="A105" s="4" t="s">
        <v>10</v>
      </c>
      <c r="B105" s="4" t="s">
        <v>135</v>
      </c>
      <c r="C105" s="4" t="str">
        <f>B101*15&amp;" ml"</f>
        <v>1125 ml</v>
      </c>
      <c r="D105" s="4" t="s">
        <v>11</v>
      </c>
    </row>
    <row r="106" spans="1:4" x14ac:dyDescent="0.35">
      <c r="A106" s="4" t="s">
        <v>65</v>
      </c>
      <c r="B106" s="4" t="s">
        <v>12</v>
      </c>
      <c r="C106" s="4" t="str">
        <f>B101&amp;" stiker"</f>
        <v>75 stiker</v>
      </c>
      <c r="D106" s="4" t="s">
        <v>13</v>
      </c>
    </row>
    <row r="107" spans="1:4" x14ac:dyDescent="0.35">
      <c r="A107" s="4" t="s">
        <v>48</v>
      </c>
      <c r="B107" s="4" t="s">
        <v>14</v>
      </c>
      <c r="C107" s="4" t="str">
        <f>B101&amp;" pump"</f>
        <v>75 pump</v>
      </c>
      <c r="D107" s="4" t="s">
        <v>15</v>
      </c>
    </row>
    <row r="109" spans="1:4" ht="15.5" x14ac:dyDescent="0.35">
      <c r="A109" s="1" t="s">
        <v>99</v>
      </c>
    </row>
    <row r="110" spans="1:4" x14ac:dyDescent="0.35">
      <c r="A110" t="s">
        <v>0</v>
      </c>
      <c r="B110" s="2">
        <v>37</v>
      </c>
    </row>
    <row r="111" spans="1:4" x14ac:dyDescent="0.35">
      <c r="A111" s="3" t="s">
        <v>1</v>
      </c>
      <c r="B111" s="3" t="s">
        <v>2</v>
      </c>
      <c r="C111" s="3" t="s">
        <v>42</v>
      </c>
      <c r="D111" s="3" t="s">
        <v>4</v>
      </c>
    </row>
    <row r="112" spans="1:4" x14ac:dyDescent="0.35">
      <c r="A112" s="4" t="s">
        <v>22</v>
      </c>
      <c r="B112" s="4" t="s">
        <v>23</v>
      </c>
      <c r="C112" s="4" t="str">
        <f>B110&amp;" botol ("&amp;B110*30&amp;" ml)"</f>
        <v>37 botol (1110 ml)</v>
      </c>
      <c r="D112" s="4" t="s">
        <v>24</v>
      </c>
    </row>
    <row r="113" spans="1:4" x14ac:dyDescent="0.35">
      <c r="A113" s="4" t="s">
        <v>97</v>
      </c>
      <c r="B113" s="4" t="s">
        <v>38</v>
      </c>
      <c r="C113" s="4" t="str">
        <f>B110*0.4&amp;" ml"</f>
        <v>14,8 ml</v>
      </c>
      <c r="D113" s="4" t="s">
        <v>9</v>
      </c>
    </row>
    <row r="114" spans="1:4" x14ac:dyDescent="0.35">
      <c r="A114" s="4" t="s">
        <v>10</v>
      </c>
      <c r="B114" s="4" t="s">
        <v>136</v>
      </c>
      <c r="C114" s="4" t="str">
        <f>B110*30&amp;" ml"</f>
        <v>1110 ml</v>
      </c>
      <c r="D114" s="4" t="s">
        <v>11</v>
      </c>
    </row>
    <row r="115" spans="1:4" x14ac:dyDescent="0.35">
      <c r="A115" s="4" t="s">
        <v>66</v>
      </c>
      <c r="B115" s="4" t="s">
        <v>12</v>
      </c>
      <c r="C115" s="4" t="str">
        <f>B110&amp;" stiker"</f>
        <v>37 stiker</v>
      </c>
      <c r="D115" s="4" t="s">
        <v>13</v>
      </c>
    </row>
    <row r="116" spans="1:4" x14ac:dyDescent="0.35">
      <c r="A116" s="4" t="s">
        <v>51</v>
      </c>
      <c r="B116" s="4" t="s">
        <v>14</v>
      </c>
      <c r="C116" s="4" t="str">
        <f>B110&amp;" pump"</f>
        <v>37 pump</v>
      </c>
      <c r="D116" s="4" t="s">
        <v>15</v>
      </c>
    </row>
    <row r="118" spans="1:4" ht="15.5" x14ac:dyDescent="0.35">
      <c r="A118" s="1" t="s">
        <v>100</v>
      </c>
    </row>
    <row r="119" spans="1:4" x14ac:dyDescent="0.35">
      <c r="A119" t="s">
        <v>0</v>
      </c>
      <c r="B119" s="2">
        <v>20</v>
      </c>
    </row>
    <row r="120" spans="1:4" x14ac:dyDescent="0.35">
      <c r="A120" s="3" t="s">
        <v>1</v>
      </c>
      <c r="B120" s="3" t="s">
        <v>2</v>
      </c>
      <c r="C120" s="3" t="s">
        <v>27</v>
      </c>
      <c r="D120" s="3" t="s">
        <v>4</v>
      </c>
    </row>
    <row r="121" spans="1:4" x14ac:dyDescent="0.35">
      <c r="A121" s="4" t="s">
        <v>28</v>
      </c>
      <c r="B121" s="4" t="s">
        <v>29</v>
      </c>
      <c r="C121" s="4" t="str">
        <f>B119&amp;" botol ("&amp;B119*100&amp;" ml)"</f>
        <v>20 botol (2000 ml)</v>
      </c>
      <c r="D121" s="4" t="s">
        <v>30</v>
      </c>
    </row>
    <row r="122" spans="1:4" x14ac:dyDescent="0.35">
      <c r="A122" s="4" t="s">
        <v>97</v>
      </c>
      <c r="B122" s="4" t="s">
        <v>31</v>
      </c>
      <c r="C122" s="4" t="str">
        <f>B119*0.75&amp;" ml"</f>
        <v>15 ml</v>
      </c>
      <c r="D122" s="4" t="s">
        <v>9</v>
      </c>
    </row>
    <row r="123" spans="1:4" x14ac:dyDescent="0.35">
      <c r="A123" s="4" t="s">
        <v>10</v>
      </c>
      <c r="B123" s="4" t="s">
        <v>137</v>
      </c>
      <c r="C123" s="4" t="str">
        <f>B119*100&amp;" ml"</f>
        <v>2000 ml</v>
      </c>
      <c r="D123" s="4" t="s">
        <v>11</v>
      </c>
    </row>
    <row r="124" spans="1:4" x14ac:dyDescent="0.35">
      <c r="A124" s="4" t="s">
        <v>67</v>
      </c>
      <c r="B124" s="4" t="s">
        <v>12</v>
      </c>
      <c r="C124" s="4" t="str">
        <f>B119&amp;" stiker"</f>
        <v>20 stiker</v>
      </c>
      <c r="D124" s="4" t="s">
        <v>13</v>
      </c>
    </row>
    <row r="125" spans="1:4" x14ac:dyDescent="0.35">
      <c r="A125" s="4" t="s">
        <v>62</v>
      </c>
      <c r="B125" s="4" t="s">
        <v>14</v>
      </c>
      <c r="C125" s="4" t="str">
        <f>B119&amp;" pump"</f>
        <v>20 pump</v>
      </c>
      <c r="D125" s="4" t="s">
        <v>15</v>
      </c>
    </row>
    <row r="127" spans="1:4" ht="15.5" x14ac:dyDescent="0.35">
      <c r="A127" s="1" t="s">
        <v>101</v>
      </c>
    </row>
    <row r="128" spans="1:4" x14ac:dyDescent="0.35">
      <c r="A128" t="s">
        <v>0</v>
      </c>
      <c r="B128" s="2">
        <v>20</v>
      </c>
    </row>
    <row r="129" spans="1:4" x14ac:dyDescent="0.35">
      <c r="A129" s="3" t="s">
        <v>1</v>
      </c>
      <c r="B129" s="3" t="s">
        <v>2</v>
      </c>
      <c r="C129" s="3" t="s">
        <v>27</v>
      </c>
      <c r="D129" s="3" t="s">
        <v>4</v>
      </c>
    </row>
    <row r="130" spans="1:4" x14ac:dyDescent="0.35">
      <c r="A130" s="4" t="s">
        <v>32</v>
      </c>
      <c r="B130" s="4" t="s">
        <v>33</v>
      </c>
      <c r="C130" s="4" t="str">
        <f>B128&amp;" botol ("&amp;B128*250&amp;" ml)"</f>
        <v>20 botol (5000 ml)</v>
      </c>
      <c r="D130" s="4" t="s">
        <v>34</v>
      </c>
    </row>
    <row r="131" spans="1:4" x14ac:dyDescent="0.35">
      <c r="A131" s="4" t="s">
        <v>97</v>
      </c>
      <c r="B131" s="4" t="s">
        <v>31</v>
      </c>
      <c r="C131" s="4" t="str">
        <f>B128*0.75&amp;" ml"</f>
        <v>15 ml</v>
      </c>
      <c r="D131" s="4" t="s">
        <v>9</v>
      </c>
    </row>
    <row r="132" spans="1:4" x14ac:dyDescent="0.35">
      <c r="A132" s="4" t="s">
        <v>10</v>
      </c>
      <c r="B132" s="4" t="s">
        <v>138</v>
      </c>
      <c r="C132" s="4" t="str">
        <f>B128*250&amp;" ml"</f>
        <v>5000 ml</v>
      </c>
      <c r="D132" s="4" t="s">
        <v>11</v>
      </c>
    </row>
    <row r="133" spans="1:4" x14ac:dyDescent="0.35">
      <c r="A133" s="4" t="s">
        <v>68</v>
      </c>
      <c r="B133" s="4" t="s">
        <v>12</v>
      </c>
      <c r="C133" s="4" t="str">
        <f>B128&amp;" stiker"</f>
        <v>20 stiker</v>
      </c>
      <c r="D133" s="4" t="s">
        <v>13</v>
      </c>
    </row>
    <row r="134" spans="1:4" x14ac:dyDescent="0.35">
      <c r="A134" s="4" t="s">
        <v>53</v>
      </c>
      <c r="B134" s="4" t="s">
        <v>14</v>
      </c>
      <c r="C134" s="4" t="str">
        <f>B128&amp;" pump"</f>
        <v>20 pump</v>
      </c>
      <c r="D134" s="4" t="s">
        <v>15</v>
      </c>
    </row>
    <row r="136" spans="1:4" ht="15.5" x14ac:dyDescent="0.35">
      <c r="A136" s="1" t="s">
        <v>102</v>
      </c>
    </row>
    <row r="137" spans="1:4" x14ac:dyDescent="0.35">
      <c r="A137" t="s">
        <v>0</v>
      </c>
      <c r="B137" s="2">
        <v>150</v>
      </c>
    </row>
    <row r="138" spans="1:4" x14ac:dyDescent="0.35">
      <c r="A138" s="3" t="s">
        <v>1</v>
      </c>
      <c r="B138" s="3" t="s">
        <v>2</v>
      </c>
      <c r="C138" s="3" t="s">
        <v>40</v>
      </c>
      <c r="D138" s="3" t="s">
        <v>4</v>
      </c>
    </row>
    <row r="139" spans="1:4" x14ac:dyDescent="0.35">
      <c r="A139" s="4" t="s">
        <v>5</v>
      </c>
      <c r="B139" s="4" t="s">
        <v>6</v>
      </c>
      <c r="C139" s="4" t="str">
        <f>B137&amp;" botol ("&amp;B137*10&amp;" ml)"</f>
        <v>150 botol (1500 ml)</v>
      </c>
      <c r="D139" s="4" t="s">
        <v>7</v>
      </c>
    </row>
    <row r="140" spans="1:4" x14ac:dyDescent="0.35">
      <c r="A140" s="4" t="s">
        <v>103</v>
      </c>
      <c r="B140" s="4" t="s">
        <v>35</v>
      </c>
      <c r="C140" s="4" t="str">
        <f>B137*0.1&amp;" ml"</f>
        <v>15 ml</v>
      </c>
      <c r="D140" s="4" t="s">
        <v>9</v>
      </c>
    </row>
    <row r="141" spans="1:4" x14ac:dyDescent="0.35">
      <c r="A141" s="4" t="s">
        <v>10</v>
      </c>
      <c r="B141" s="4" t="s">
        <v>134</v>
      </c>
      <c r="C141" s="4" t="str">
        <f>B137*10&amp;" ml"</f>
        <v>1500 ml</v>
      </c>
      <c r="D141" s="4" t="s">
        <v>11</v>
      </c>
    </row>
    <row r="142" spans="1:4" x14ac:dyDescent="0.35">
      <c r="A142" s="4" t="s">
        <v>69</v>
      </c>
      <c r="B142" s="4" t="s">
        <v>12</v>
      </c>
      <c r="C142" s="4" t="str">
        <f>B137&amp;" stiker"</f>
        <v>150 stiker</v>
      </c>
      <c r="D142" s="4" t="s">
        <v>13</v>
      </c>
    </row>
    <row r="143" spans="1:4" x14ac:dyDescent="0.35">
      <c r="A143" s="4" t="s">
        <v>50</v>
      </c>
      <c r="B143" s="4" t="s">
        <v>14</v>
      </c>
      <c r="C143" s="4" t="str">
        <f>B137&amp;" pump"</f>
        <v>150 pump</v>
      </c>
      <c r="D143" s="4" t="s">
        <v>15</v>
      </c>
    </row>
    <row r="145" spans="1:4" ht="15.5" x14ac:dyDescent="0.35">
      <c r="A145" s="1" t="s">
        <v>104</v>
      </c>
    </row>
    <row r="146" spans="1:4" x14ac:dyDescent="0.35">
      <c r="A146" t="s">
        <v>0</v>
      </c>
      <c r="B146" s="2">
        <v>50</v>
      </c>
    </row>
    <row r="147" spans="1:4" x14ac:dyDescent="0.35">
      <c r="A147" s="3" t="s">
        <v>1</v>
      </c>
      <c r="B147" s="3" t="s">
        <v>2</v>
      </c>
      <c r="C147" s="3" t="s">
        <v>16</v>
      </c>
      <c r="D147" s="3" t="s">
        <v>4</v>
      </c>
    </row>
    <row r="148" spans="1:4" x14ac:dyDescent="0.35">
      <c r="A148" s="4" t="s">
        <v>17</v>
      </c>
      <c r="B148" s="4" t="s">
        <v>18</v>
      </c>
      <c r="C148" s="4" t="str">
        <f>B146&amp;" botol ("&amp;B146*15&amp;" ml)"</f>
        <v>50 botol (750 ml)</v>
      </c>
      <c r="D148" s="4" t="s">
        <v>19</v>
      </c>
    </row>
    <row r="149" spans="1:4" x14ac:dyDescent="0.35">
      <c r="A149" s="4" t="s">
        <v>103</v>
      </c>
      <c r="B149" s="4" t="s">
        <v>20</v>
      </c>
      <c r="C149" s="4" t="str">
        <f>B146*0.3&amp;" ml"</f>
        <v>15 ml</v>
      </c>
      <c r="D149" s="4" t="s">
        <v>9</v>
      </c>
    </row>
    <row r="150" spans="1:4" x14ac:dyDescent="0.35">
      <c r="A150" s="4" t="s">
        <v>10</v>
      </c>
      <c r="B150" s="4" t="s">
        <v>135</v>
      </c>
      <c r="C150" s="4" t="str">
        <f>B146*15&amp;" ml"</f>
        <v>750 ml</v>
      </c>
      <c r="D150" s="4" t="s">
        <v>11</v>
      </c>
    </row>
    <row r="151" spans="1:4" x14ac:dyDescent="0.35">
      <c r="A151" s="4" t="s">
        <v>70</v>
      </c>
      <c r="B151" s="4" t="s">
        <v>12</v>
      </c>
      <c r="C151" s="4" t="str">
        <f>B146&amp;" stiker"</f>
        <v>50 stiker</v>
      </c>
      <c r="D151" s="4" t="s">
        <v>13</v>
      </c>
    </row>
    <row r="152" spans="1:4" x14ac:dyDescent="0.35">
      <c r="A152" s="4" t="s">
        <v>48</v>
      </c>
      <c r="B152" s="4" t="s">
        <v>14</v>
      </c>
      <c r="C152" s="4" t="str">
        <f>B146&amp;" pump"</f>
        <v>50 pump</v>
      </c>
      <c r="D152" s="4" t="s">
        <v>15</v>
      </c>
    </row>
    <row r="154" spans="1:4" ht="15.5" x14ac:dyDescent="0.35">
      <c r="A154" s="1" t="s">
        <v>105</v>
      </c>
    </row>
    <row r="155" spans="1:4" x14ac:dyDescent="0.35">
      <c r="A155" t="s">
        <v>0</v>
      </c>
      <c r="B155" s="2">
        <v>37</v>
      </c>
    </row>
    <row r="156" spans="1:4" x14ac:dyDescent="0.35">
      <c r="A156" s="3" t="s">
        <v>1</v>
      </c>
      <c r="B156" s="3" t="s">
        <v>2</v>
      </c>
      <c r="C156" s="3" t="s">
        <v>42</v>
      </c>
      <c r="D156" s="3" t="s">
        <v>4</v>
      </c>
    </row>
    <row r="157" spans="1:4" x14ac:dyDescent="0.35">
      <c r="A157" s="4" t="s">
        <v>22</v>
      </c>
      <c r="B157" s="4" t="s">
        <v>23</v>
      </c>
      <c r="C157" s="4" t="str">
        <f>B155&amp;" botol ("&amp;B155*30&amp;" ml)"</f>
        <v>37 botol (1110 ml)</v>
      </c>
      <c r="D157" s="4" t="s">
        <v>24</v>
      </c>
    </row>
    <row r="158" spans="1:4" x14ac:dyDescent="0.35">
      <c r="A158" s="4" t="s">
        <v>103</v>
      </c>
      <c r="B158" s="4" t="s">
        <v>38</v>
      </c>
      <c r="C158" s="4" t="str">
        <f>B155*0.4&amp;" ml"</f>
        <v>14,8 ml</v>
      </c>
      <c r="D158" s="4" t="s">
        <v>9</v>
      </c>
    </row>
    <row r="159" spans="1:4" x14ac:dyDescent="0.35">
      <c r="A159" s="4" t="s">
        <v>10</v>
      </c>
      <c r="B159" s="4" t="s">
        <v>136</v>
      </c>
      <c r="C159" s="4" t="str">
        <f>B155*30&amp;" ml"</f>
        <v>1110 ml</v>
      </c>
      <c r="D159" s="4" t="s">
        <v>11</v>
      </c>
    </row>
    <row r="160" spans="1:4" x14ac:dyDescent="0.35">
      <c r="A160" s="4" t="s">
        <v>71</v>
      </c>
      <c r="B160" s="4" t="s">
        <v>12</v>
      </c>
      <c r="C160" s="4" t="str">
        <f>B155&amp;" stiker"</f>
        <v>37 stiker</v>
      </c>
      <c r="D160" s="4" t="s">
        <v>13</v>
      </c>
    </row>
    <row r="161" spans="1:4" x14ac:dyDescent="0.35">
      <c r="A161" s="4" t="s">
        <v>51</v>
      </c>
      <c r="B161" s="4" t="s">
        <v>14</v>
      </c>
      <c r="C161" s="4" t="str">
        <f>B155&amp;" pump"</f>
        <v>37 pump</v>
      </c>
      <c r="D161" s="4" t="s">
        <v>15</v>
      </c>
    </row>
    <row r="163" spans="1:4" ht="15.5" x14ac:dyDescent="0.35">
      <c r="A163" s="1" t="s">
        <v>106</v>
      </c>
    </row>
    <row r="164" spans="1:4" x14ac:dyDescent="0.35">
      <c r="A164" t="s">
        <v>0</v>
      </c>
      <c r="B164" s="2">
        <v>20</v>
      </c>
    </row>
    <row r="165" spans="1:4" x14ac:dyDescent="0.35">
      <c r="A165" s="3" t="s">
        <v>1</v>
      </c>
      <c r="B165" s="3" t="s">
        <v>2</v>
      </c>
      <c r="C165" s="3" t="s">
        <v>27</v>
      </c>
      <c r="D165" s="3" t="s">
        <v>4</v>
      </c>
    </row>
    <row r="166" spans="1:4" x14ac:dyDescent="0.35">
      <c r="A166" s="4" t="s">
        <v>28</v>
      </c>
      <c r="B166" s="4" t="s">
        <v>29</v>
      </c>
      <c r="C166" s="4" t="str">
        <f>B164&amp;" botol ("&amp;B164*100&amp;" ml)"</f>
        <v>20 botol (2000 ml)</v>
      </c>
      <c r="D166" s="4" t="s">
        <v>30</v>
      </c>
    </row>
    <row r="167" spans="1:4" x14ac:dyDescent="0.35">
      <c r="A167" s="4" t="s">
        <v>103</v>
      </c>
      <c r="B167" s="4" t="s">
        <v>31</v>
      </c>
      <c r="C167" s="4" t="str">
        <f>B164*0.75&amp;" ml"</f>
        <v>15 ml</v>
      </c>
      <c r="D167" s="4" t="s">
        <v>9</v>
      </c>
    </row>
    <row r="168" spans="1:4" x14ac:dyDescent="0.35">
      <c r="A168" s="4" t="s">
        <v>10</v>
      </c>
      <c r="B168" s="4" t="s">
        <v>137</v>
      </c>
      <c r="C168" s="4" t="str">
        <f>B164*100&amp;" ml"</f>
        <v>2000 ml</v>
      </c>
      <c r="D168" s="4" t="s">
        <v>11</v>
      </c>
    </row>
    <row r="169" spans="1:4" x14ac:dyDescent="0.35">
      <c r="A169" s="4" t="s">
        <v>72</v>
      </c>
      <c r="B169" s="4" t="s">
        <v>12</v>
      </c>
      <c r="C169" s="4" t="str">
        <f>B164&amp;" stiker"</f>
        <v>20 stiker</v>
      </c>
      <c r="D169" s="4" t="s">
        <v>13</v>
      </c>
    </row>
    <row r="170" spans="1:4" x14ac:dyDescent="0.35">
      <c r="A170" s="4" t="s">
        <v>62</v>
      </c>
      <c r="B170" s="4" t="s">
        <v>14</v>
      </c>
      <c r="C170" s="4" t="str">
        <f>B164&amp;" pump"</f>
        <v>20 pump</v>
      </c>
      <c r="D170" s="4" t="s">
        <v>15</v>
      </c>
    </row>
    <row r="172" spans="1:4" ht="15.5" x14ac:dyDescent="0.35">
      <c r="A172" s="1" t="s">
        <v>107</v>
      </c>
    </row>
    <row r="173" spans="1:4" x14ac:dyDescent="0.35">
      <c r="A173" t="s">
        <v>0</v>
      </c>
      <c r="B173" s="2">
        <v>20</v>
      </c>
    </row>
    <row r="174" spans="1:4" x14ac:dyDescent="0.35">
      <c r="A174" s="3" t="s">
        <v>1</v>
      </c>
      <c r="B174" s="3" t="s">
        <v>2</v>
      </c>
      <c r="C174" s="3" t="s">
        <v>27</v>
      </c>
      <c r="D174" s="3" t="s">
        <v>4</v>
      </c>
    </row>
    <row r="175" spans="1:4" x14ac:dyDescent="0.35">
      <c r="A175" s="4" t="s">
        <v>32</v>
      </c>
      <c r="B175" s="4" t="s">
        <v>33</v>
      </c>
      <c r="C175" s="4" t="str">
        <f>B173&amp;" botol ("&amp;B173*250&amp;" ml)"</f>
        <v>20 botol (5000 ml)</v>
      </c>
      <c r="D175" s="4" t="s">
        <v>34</v>
      </c>
    </row>
    <row r="176" spans="1:4" x14ac:dyDescent="0.35">
      <c r="A176" s="4" t="s">
        <v>103</v>
      </c>
      <c r="B176" s="4" t="s">
        <v>31</v>
      </c>
      <c r="C176" s="4" t="str">
        <f>B173*0.75&amp;" ml"</f>
        <v>15 ml</v>
      </c>
      <c r="D176" s="4" t="s">
        <v>9</v>
      </c>
    </row>
    <row r="177" spans="1:4" x14ac:dyDescent="0.35">
      <c r="A177" s="4" t="s">
        <v>10</v>
      </c>
      <c r="B177" s="4" t="s">
        <v>138</v>
      </c>
      <c r="C177" s="4" t="str">
        <f>B173*250&amp;" ml"</f>
        <v>5000 ml</v>
      </c>
      <c r="D177" s="4" t="s">
        <v>11</v>
      </c>
    </row>
    <row r="178" spans="1:4" x14ac:dyDescent="0.35">
      <c r="A178" s="4" t="s">
        <v>73</v>
      </c>
      <c r="B178" s="4" t="s">
        <v>12</v>
      </c>
      <c r="C178" s="4" t="str">
        <f>B173&amp;" stiker"</f>
        <v>20 stiker</v>
      </c>
      <c r="D178" s="4" t="s">
        <v>13</v>
      </c>
    </row>
    <row r="179" spans="1:4" x14ac:dyDescent="0.35">
      <c r="A179" s="4" t="s">
        <v>53</v>
      </c>
      <c r="B179" s="4" t="s">
        <v>14</v>
      </c>
      <c r="C179" s="4" t="str">
        <f>B173&amp;" pump"</f>
        <v>20 pump</v>
      </c>
      <c r="D179" s="4" t="s">
        <v>15</v>
      </c>
    </row>
    <row r="181" spans="1:4" ht="15.5" x14ac:dyDescent="0.35">
      <c r="A181" s="1" t="s">
        <v>108</v>
      </c>
    </row>
    <row r="182" spans="1:4" x14ac:dyDescent="0.35">
      <c r="A182" t="s">
        <v>0</v>
      </c>
      <c r="B182" s="2">
        <v>150</v>
      </c>
    </row>
    <row r="183" spans="1:4" x14ac:dyDescent="0.35">
      <c r="A183" s="3" t="s">
        <v>1</v>
      </c>
      <c r="B183" s="3" t="s">
        <v>2</v>
      </c>
      <c r="C183" s="3" t="s">
        <v>40</v>
      </c>
      <c r="D183" s="3" t="s">
        <v>4</v>
      </c>
    </row>
    <row r="184" spans="1:4" x14ac:dyDescent="0.35">
      <c r="A184" s="4" t="s">
        <v>5</v>
      </c>
      <c r="B184" s="4" t="s">
        <v>6</v>
      </c>
      <c r="C184" s="4" t="str">
        <f>B182&amp;" botol ("&amp;B182*10&amp;" ml)"</f>
        <v>150 botol (1500 ml)</v>
      </c>
      <c r="D184" s="4" t="s">
        <v>7</v>
      </c>
    </row>
    <row r="185" spans="1:4" x14ac:dyDescent="0.35">
      <c r="A185" s="4" t="s">
        <v>109</v>
      </c>
      <c r="B185" s="4" t="s">
        <v>35</v>
      </c>
      <c r="C185" s="4" t="str">
        <f>B182*0.1&amp;" ml"</f>
        <v>15 ml</v>
      </c>
      <c r="D185" s="4" t="s">
        <v>9</v>
      </c>
    </row>
    <row r="186" spans="1:4" x14ac:dyDescent="0.35">
      <c r="A186" s="4" t="s">
        <v>10</v>
      </c>
      <c r="B186" s="4" t="s">
        <v>134</v>
      </c>
      <c r="C186" s="4" t="str">
        <f>B182*10&amp;" ml"</f>
        <v>1500 ml</v>
      </c>
      <c r="D186" s="4" t="s">
        <v>11</v>
      </c>
    </row>
    <row r="187" spans="1:4" x14ac:dyDescent="0.35">
      <c r="A187" s="4" t="s">
        <v>74</v>
      </c>
      <c r="B187" s="4" t="s">
        <v>12</v>
      </c>
      <c r="C187" s="4" t="str">
        <f>B182&amp;" stiker"</f>
        <v>150 stiker</v>
      </c>
      <c r="D187" s="4" t="s">
        <v>13</v>
      </c>
    </row>
    <row r="188" spans="1:4" x14ac:dyDescent="0.35">
      <c r="A188" s="4" t="s">
        <v>75</v>
      </c>
      <c r="B188" s="4" t="s">
        <v>14</v>
      </c>
      <c r="C188" s="4" t="str">
        <f>B182&amp;" pump"</f>
        <v>150 pump</v>
      </c>
      <c r="D188" s="4" t="s">
        <v>15</v>
      </c>
    </row>
    <row r="190" spans="1:4" ht="15.5" x14ac:dyDescent="0.35">
      <c r="A190" s="1" t="s">
        <v>110</v>
      </c>
    </row>
    <row r="191" spans="1:4" x14ac:dyDescent="0.35">
      <c r="A191" t="s">
        <v>0</v>
      </c>
      <c r="B191" s="2">
        <v>100</v>
      </c>
    </row>
    <row r="192" spans="1:4" x14ac:dyDescent="0.35">
      <c r="A192" s="3" t="s">
        <v>1</v>
      </c>
      <c r="B192" s="3" t="s">
        <v>2</v>
      </c>
      <c r="C192" s="3" t="s">
        <v>3</v>
      </c>
      <c r="D192" s="3" t="s">
        <v>4</v>
      </c>
    </row>
    <row r="193" spans="1:4" x14ac:dyDescent="0.35">
      <c r="A193" s="4" t="s">
        <v>17</v>
      </c>
      <c r="B193" s="4" t="s">
        <v>18</v>
      </c>
      <c r="C193" s="4" t="str">
        <f>B191&amp;" botol ("&amp;B191*15&amp;" ml)"</f>
        <v>100 botol (1500 ml)</v>
      </c>
      <c r="D193" s="4" t="s">
        <v>19</v>
      </c>
    </row>
    <row r="194" spans="1:4" x14ac:dyDescent="0.35">
      <c r="A194" s="4" t="s">
        <v>109</v>
      </c>
      <c r="B194" s="4" t="s">
        <v>8</v>
      </c>
      <c r="C194" s="4" t="str">
        <f>B191*0.15&amp;" ml"</f>
        <v>15 ml</v>
      </c>
      <c r="D194" s="4" t="s">
        <v>9</v>
      </c>
    </row>
    <row r="195" spans="1:4" x14ac:dyDescent="0.35">
      <c r="A195" s="4" t="s">
        <v>10</v>
      </c>
      <c r="B195" s="4" t="s">
        <v>135</v>
      </c>
      <c r="C195" s="4" t="str">
        <f>B191*15&amp;" ml"</f>
        <v>1500 ml</v>
      </c>
      <c r="D195" s="4" t="s">
        <v>11</v>
      </c>
    </row>
    <row r="196" spans="1:4" x14ac:dyDescent="0.35">
      <c r="A196" s="4" t="s">
        <v>76</v>
      </c>
      <c r="B196" s="4" t="s">
        <v>12</v>
      </c>
      <c r="C196" s="4" t="str">
        <f>B191&amp;" stiker"</f>
        <v>100 stiker</v>
      </c>
      <c r="D196" s="4" t="s">
        <v>13</v>
      </c>
    </row>
    <row r="197" spans="1:4" x14ac:dyDescent="0.35">
      <c r="A197" s="4" t="s">
        <v>48</v>
      </c>
      <c r="B197" s="4" t="s">
        <v>14</v>
      </c>
      <c r="C197" s="4" t="str">
        <f>B191&amp;" pump"</f>
        <v>100 pump</v>
      </c>
      <c r="D197" s="4" t="s">
        <v>15</v>
      </c>
    </row>
    <row r="199" spans="1:4" ht="15.5" x14ac:dyDescent="0.35">
      <c r="A199" s="1" t="s">
        <v>111</v>
      </c>
    </row>
    <row r="200" spans="1:4" x14ac:dyDescent="0.35">
      <c r="A200" t="s">
        <v>0</v>
      </c>
      <c r="B200" s="2">
        <v>50</v>
      </c>
    </row>
    <row r="201" spans="1:4" x14ac:dyDescent="0.35">
      <c r="A201" s="3" t="s">
        <v>1</v>
      </c>
      <c r="B201" s="3" t="s">
        <v>2</v>
      </c>
      <c r="C201" s="3" t="s">
        <v>16</v>
      </c>
      <c r="D201" s="3" t="s">
        <v>4</v>
      </c>
    </row>
    <row r="202" spans="1:4" x14ac:dyDescent="0.35">
      <c r="A202" s="4" t="s">
        <v>22</v>
      </c>
      <c r="B202" s="4" t="s">
        <v>23</v>
      </c>
      <c r="C202" s="4" t="str">
        <f>B200&amp;" botol ("&amp;B200*30&amp;" ml)"</f>
        <v>50 botol (1500 ml)</v>
      </c>
      <c r="D202" s="4" t="s">
        <v>24</v>
      </c>
    </row>
    <row r="203" spans="1:4" x14ac:dyDescent="0.35">
      <c r="A203" s="4" t="s">
        <v>109</v>
      </c>
      <c r="B203" s="4" t="s">
        <v>20</v>
      </c>
      <c r="C203" s="4" t="str">
        <f>B200*0.3&amp;" ml"</f>
        <v>15 ml</v>
      </c>
      <c r="D203" s="4" t="s">
        <v>9</v>
      </c>
    </row>
    <row r="204" spans="1:4" x14ac:dyDescent="0.35">
      <c r="A204" s="4" t="s">
        <v>10</v>
      </c>
      <c r="B204" s="4" t="s">
        <v>136</v>
      </c>
      <c r="C204" s="4" t="str">
        <f>B200*30&amp;" ml"</f>
        <v>1500 ml</v>
      </c>
      <c r="D204" s="4" t="s">
        <v>11</v>
      </c>
    </row>
    <row r="205" spans="1:4" x14ac:dyDescent="0.35">
      <c r="A205" s="4" t="s">
        <v>77</v>
      </c>
      <c r="B205" s="4" t="s">
        <v>12</v>
      </c>
      <c r="C205" s="4" t="str">
        <f>B200&amp;" stiker"</f>
        <v>50 stiker</v>
      </c>
      <c r="D205" s="4" t="s">
        <v>13</v>
      </c>
    </row>
    <row r="206" spans="1:4" x14ac:dyDescent="0.35">
      <c r="A206" s="4" t="s">
        <v>51</v>
      </c>
      <c r="B206" s="4" t="s">
        <v>14</v>
      </c>
      <c r="C206" s="4" t="str">
        <f>B200&amp;" pump"</f>
        <v>50 pump</v>
      </c>
      <c r="D206" s="4" t="s">
        <v>15</v>
      </c>
    </row>
    <row r="208" spans="1:4" ht="15.5" x14ac:dyDescent="0.35">
      <c r="A208" s="1" t="s">
        <v>112</v>
      </c>
    </row>
    <row r="209" spans="1:4" x14ac:dyDescent="0.35">
      <c r="A209" t="s">
        <v>0</v>
      </c>
      <c r="B209" s="2">
        <v>37</v>
      </c>
    </row>
    <row r="210" spans="1:4" x14ac:dyDescent="0.35">
      <c r="A210" s="3" t="s">
        <v>1</v>
      </c>
      <c r="B210" s="3" t="s">
        <v>2</v>
      </c>
      <c r="C210" s="3" t="s">
        <v>42</v>
      </c>
      <c r="D210" s="3" t="s">
        <v>4</v>
      </c>
    </row>
    <row r="211" spans="1:4" x14ac:dyDescent="0.35">
      <c r="A211" s="4" t="s">
        <v>28</v>
      </c>
      <c r="B211" s="4" t="s">
        <v>29</v>
      </c>
      <c r="C211" s="4" t="str">
        <f>B209&amp;" botol ("&amp;B209*100&amp;" ml)"</f>
        <v>37 botol (3700 ml)</v>
      </c>
      <c r="D211" s="4" t="s">
        <v>30</v>
      </c>
    </row>
    <row r="212" spans="1:4" x14ac:dyDescent="0.35">
      <c r="A212" s="4" t="s">
        <v>109</v>
      </c>
      <c r="B212" s="4" t="s">
        <v>38</v>
      </c>
      <c r="C212" s="4" t="str">
        <f>B209*0.4&amp;" ml"</f>
        <v>14,8 ml</v>
      </c>
      <c r="D212" s="4" t="s">
        <v>9</v>
      </c>
    </row>
    <row r="213" spans="1:4" x14ac:dyDescent="0.35">
      <c r="A213" s="4" t="s">
        <v>10</v>
      </c>
      <c r="B213" s="4" t="s">
        <v>137</v>
      </c>
      <c r="C213" s="4" t="str">
        <f>B209*100&amp;" ml"</f>
        <v>3700 ml</v>
      </c>
      <c r="D213" s="4" t="s">
        <v>11</v>
      </c>
    </row>
    <row r="214" spans="1:4" x14ac:dyDescent="0.35">
      <c r="A214" s="4" t="s">
        <v>78</v>
      </c>
      <c r="B214" s="4" t="s">
        <v>12</v>
      </c>
      <c r="C214" s="4" t="str">
        <f>B209&amp;" stiker"</f>
        <v>37 stiker</v>
      </c>
      <c r="D214" s="4" t="s">
        <v>13</v>
      </c>
    </row>
    <row r="215" spans="1:4" x14ac:dyDescent="0.35">
      <c r="A215" s="4" t="s">
        <v>52</v>
      </c>
      <c r="B215" s="4" t="s">
        <v>14</v>
      </c>
      <c r="C215" s="4" t="str">
        <f>B209&amp;" pump"</f>
        <v>37 pump</v>
      </c>
      <c r="D215" s="4" t="s">
        <v>15</v>
      </c>
    </row>
    <row r="217" spans="1:4" ht="15.5" x14ac:dyDescent="0.35">
      <c r="A217" s="1" t="s">
        <v>113</v>
      </c>
    </row>
    <row r="218" spans="1:4" x14ac:dyDescent="0.35">
      <c r="A218" t="s">
        <v>0</v>
      </c>
      <c r="B218" s="2">
        <v>37</v>
      </c>
    </row>
    <row r="219" spans="1:4" x14ac:dyDescent="0.35">
      <c r="A219" s="3" t="s">
        <v>1</v>
      </c>
      <c r="B219" s="3" t="s">
        <v>2</v>
      </c>
      <c r="C219" s="3" t="s">
        <v>42</v>
      </c>
      <c r="D219" s="3" t="s">
        <v>4</v>
      </c>
    </row>
    <row r="220" spans="1:4" x14ac:dyDescent="0.35">
      <c r="A220" s="4" t="s">
        <v>32</v>
      </c>
      <c r="B220" s="4" t="s">
        <v>33</v>
      </c>
      <c r="C220" s="4" t="str">
        <f>B218&amp;" botol ("&amp;B218*250&amp;" ml)"</f>
        <v>37 botol (9250 ml)</v>
      </c>
      <c r="D220" s="4" t="s">
        <v>34</v>
      </c>
    </row>
    <row r="221" spans="1:4" x14ac:dyDescent="0.35">
      <c r="A221" s="4" t="s">
        <v>109</v>
      </c>
      <c r="B221" s="4" t="s">
        <v>38</v>
      </c>
      <c r="C221" s="4" t="str">
        <f>B218*0.4&amp;" ml"</f>
        <v>14,8 ml</v>
      </c>
      <c r="D221" s="4" t="s">
        <v>9</v>
      </c>
    </row>
    <row r="222" spans="1:4" x14ac:dyDescent="0.35">
      <c r="A222" s="4" t="s">
        <v>10</v>
      </c>
      <c r="B222" s="4" t="s">
        <v>138</v>
      </c>
      <c r="C222" s="4" t="str">
        <f>B218*250&amp;" ml"</f>
        <v>9250 ml</v>
      </c>
      <c r="D222" s="4" t="s">
        <v>11</v>
      </c>
    </row>
    <row r="223" spans="1:4" x14ac:dyDescent="0.35">
      <c r="A223" s="4" t="s">
        <v>79</v>
      </c>
      <c r="B223" s="4" t="s">
        <v>12</v>
      </c>
      <c r="C223" s="4" t="str">
        <f>B218&amp;" stiker"</f>
        <v>37 stiker</v>
      </c>
      <c r="D223" s="4" t="s">
        <v>13</v>
      </c>
    </row>
    <row r="224" spans="1:4" x14ac:dyDescent="0.35">
      <c r="A224" s="4" t="s">
        <v>53</v>
      </c>
      <c r="B224" s="4" t="s">
        <v>14</v>
      </c>
      <c r="C224" s="4" t="str">
        <f>B218&amp;" pump"</f>
        <v>37 pump</v>
      </c>
      <c r="D224" s="4" t="s">
        <v>15</v>
      </c>
    </row>
    <row r="226" spans="1:4" ht="15.5" customHeight="1" x14ac:dyDescent="0.35">
      <c r="A226" s="1" t="s">
        <v>114</v>
      </c>
    </row>
    <row r="227" spans="1:4" ht="14.5" customHeight="1" x14ac:dyDescent="0.35">
      <c r="A227" t="s">
        <v>0</v>
      </c>
      <c r="B227" s="2">
        <v>150</v>
      </c>
    </row>
    <row r="228" spans="1:4" ht="14.5" customHeight="1" x14ac:dyDescent="0.35">
      <c r="A228" s="3" t="s">
        <v>1</v>
      </c>
      <c r="B228" s="3" t="s">
        <v>2</v>
      </c>
      <c r="C228" s="3" t="s">
        <v>40</v>
      </c>
      <c r="D228" s="3" t="s">
        <v>4</v>
      </c>
    </row>
    <row r="229" spans="1:4" ht="14.5" customHeight="1" x14ac:dyDescent="0.35">
      <c r="A229" s="4" t="s">
        <v>5</v>
      </c>
      <c r="B229" s="4" t="s">
        <v>6</v>
      </c>
      <c r="C229" s="4" t="str">
        <f>B227&amp;" botol ("&amp;B227*10&amp;" ml)"</f>
        <v>150 botol (1500 ml)</v>
      </c>
      <c r="D229" s="4" t="s">
        <v>7</v>
      </c>
    </row>
    <row r="230" spans="1:4" ht="14.5" customHeight="1" x14ac:dyDescent="0.35">
      <c r="A230" s="4" t="s">
        <v>115</v>
      </c>
      <c r="B230" s="4" t="s">
        <v>35</v>
      </c>
      <c r="C230" s="4" t="str">
        <f>B227*0.1&amp;" ml"</f>
        <v>15 ml</v>
      </c>
      <c r="D230" s="4" t="s">
        <v>9</v>
      </c>
    </row>
    <row r="231" spans="1:4" ht="14.5" customHeight="1" x14ac:dyDescent="0.35">
      <c r="A231" s="4" t="s">
        <v>10</v>
      </c>
      <c r="B231" s="4" t="s">
        <v>134</v>
      </c>
      <c r="C231" s="4" t="str">
        <f>B227*10&amp;" ml"</f>
        <v>1500 ml</v>
      </c>
      <c r="D231" s="4" t="s">
        <v>11</v>
      </c>
    </row>
    <row r="232" spans="1:4" ht="14.5" customHeight="1" x14ac:dyDescent="0.35">
      <c r="A232" s="4" t="s">
        <v>80</v>
      </c>
      <c r="B232" s="4" t="s">
        <v>12</v>
      </c>
      <c r="C232" s="4" t="str">
        <f>B227&amp;" stiker"</f>
        <v>150 stiker</v>
      </c>
      <c r="D232" s="4" t="s">
        <v>13</v>
      </c>
    </row>
    <row r="233" spans="1:4" ht="14.5" customHeight="1" x14ac:dyDescent="0.35">
      <c r="A233" s="4" t="s">
        <v>50</v>
      </c>
      <c r="B233" s="4" t="s">
        <v>14</v>
      </c>
      <c r="C233" s="4" t="str">
        <f>B227&amp;" pump"</f>
        <v>150 pump</v>
      </c>
      <c r="D233" s="4" t="s">
        <v>15</v>
      </c>
    </row>
    <row r="234" spans="1:4" ht="14.5" customHeight="1" x14ac:dyDescent="0.35"/>
    <row r="235" spans="1:4" ht="15.5" customHeight="1" x14ac:dyDescent="0.35">
      <c r="A235" s="1" t="s">
        <v>116</v>
      </c>
    </row>
    <row r="236" spans="1:4" ht="14.5" customHeight="1" x14ac:dyDescent="0.35">
      <c r="A236" t="s">
        <v>0</v>
      </c>
      <c r="B236" s="2">
        <v>100</v>
      </c>
    </row>
    <row r="237" spans="1:4" ht="14.5" customHeight="1" x14ac:dyDescent="0.35">
      <c r="A237" s="3" t="s">
        <v>1</v>
      </c>
      <c r="B237" s="3" t="s">
        <v>2</v>
      </c>
      <c r="C237" s="3" t="s">
        <v>3</v>
      </c>
      <c r="D237" s="3" t="s">
        <v>4</v>
      </c>
    </row>
    <row r="238" spans="1:4" ht="14.5" customHeight="1" x14ac:dyDescent="0.35">
      <c r="A238" s="4" t="s">
        <v>17</v>
      </c>
      <c r="B238" s="4" t="s">
        <v>18</v>
      </c>
      <c r="C238" s="4" t="str">
        <f>B236&amp;" botol ("&amp;B236*15&amp;" ml)"</f>
        <v>100 botol (1500 ml)</v>
      </c>
      <c r="D238" s="4" t="s">
        <v>19</v>
      </c>
    </row>
    <row r="239" spans="1:4" ht="14.5" customHeight="1" x14ac:dyDescent="0.35">
      <c r="A239" s="4" t="s">
        <v>115</v>
      </c>
      <c r="B239" s="4" t="s">
        <v>8</v>
      </c>
      <c r="C239" s="4" t="str">
        <f>B236*0.15&amp;" ml"</f>
        <v>15 ml</v>
      </c>
      <c r="D239" s="4" t="s">
        <v>9</v>
      </c>
    </row>
    <row r="240" spans="1:4" ht="14.5" customHeight="1" x14ac:dyDescent="0.35">
      <c r="A240" s="4" t="s">
        <v>10</v>
      </c>
      <c r="B240" s="4" t="s">
        <v>135</v>
      </c>
      <c r="C240" s="4" t="str">
        <f>B236*15&amp;" ml"</f>
        <v>1500 ml</v>
      </c>
      <c r="D240" s="4" t="s">
        <v>11</v>
      </c>
    </row>
    <row r="241" spans="1:4" ht="14.5" customHeight="1" x14ac:dyDescent="0.35">
      <c r="A241" s="4" t="s">
        <v>81</v>
      </c>
      <c r="B241" s="4" t="s">
        <v>12</v>
      </c>
      <c r="C241" s="4" t="str">
        <f>B236&amp;" stiker"</f>
        <v>100 stiker</v>
      </c>
      <c r="D241" s="4" t="s">
        <v>13</v>
      </c>
    </row>
    <row r="242" spans="1:4" ht="14.5" customHeight="1" x14ac:dyDescent="0.35">
      <c r="A242" s="4" t="s">
        <v>48</v>
      </c>
      <c r="B242" s="4" t="s">
        <v>14</v>
      </c>
      <c r="C242" s="4" t="str">
        <f>B236&amp;" pump"</f>
        <v>100 pump</v>
      </c>
      <c r="D242" s="4" t="s">
        <v>15</v>
      </c>
    </row>
    <row r="243" spans="1:4" ht="14.5" customHeight="1" x14ac:dyDescent="0.35"/>
    <row r="244" spans="1:4" ht="15.5" customHeight="1" x14ac:dyDescent="0.35">
      <c r="A244" s="1" t="s">
        <v>117</v>
      </c>
    </row>
    <row r="245" spans="1:4" ht="14.5" customHeight="1" x14ac:dyDescent="0.35">
      <c r="A245" t="s">
        <v>0</v>
      </c>
      <c r="B245" s="2">
        <v>75</v>
      </c>
    </row>
    <row r="246" spans="1:4" ht="14.5" customHeight="1" x14ac:dyDescent="0.35">
      <c r="A246" s="3" t="s">
        <v>1</v>
      </c>
      <c r="B246" s="3" t="s">
        <v>2</v>
      </c>
      <c r="C246" s="3" t="s">
        <v>41</v>
      </c>
      <c r="D246" s="3" t="s">
        <v>4</v>
      </c>
    </row>
    <row r="247" spans="1:4" ht="14.5" customHeight="1" x14ac:dyDescent="0.35">
      <c r="A247" s="4" t="s">
        <v>22</v>
      </c>
      <c r="B247" s="4" t="s">
        <v>23</v>
      </c>
      <c r="C247" s="4" t="str">
        <f>B245&amp;" botol ("&amp;B245*30&amp;" ml)"</f>
        <v>75 botol (2250 ml)</v>
      </c>
      <c r="D247" s="4" t="s">
        <v>24</v>
      </c>
    </row>
    <row r="248" spans="1:4" ht="14.5" customHeight="1" x14ac:dyDescent="0.35">
      <c r="A248" s="4" t="s">
        <v>115</v>
      </c>
      <c r="B248" s="4" t="s">
        <v>36</v>
      </c>
      <c r="C248" s="4" t="str">
        <f>B245*0.2&amp;" ml"</f>
        <v>15 ml</v>
      </c>
      <c r="D248" s="4" t="s">
        <v>9</v>
      </c>
    </row>
    <row r="249" spans="1:4" ht="14.5" customHeight="1" x14ac:dyDescent="0.35">
      <c r="A249" s="4" t="s">
        <v>10</v>
      </c>
      <c r="B249" s="4" t="s">
        <v>136</v>
      </c>
      <c r="C249" s="4" t="str">
        <f>B245*30&amp;" ml"</f>
        <v>2250 ml</v>
      </c>
      <c r="D249" s="4" t="s">
        <v>11</v>
      </c>
    </row>
    <row r="250" spans="1:4" ht="14.5" customHeight="1" x14ac:dyDescent="0.35">
      <c r="A250" s="4" t="s">
        <v>82</v>
      </c>
      <c r="B250" s="4" t="s">
        <v>12</v>
      </c>
      <c r="C250" s="4" t="str">
        <f>B245&amp;" stiker"</f>
        <v>75 stiker</v>
      </c>
      <c r="D250" s="4" t="s">
        <v>13</v>
      </c>
    </row>
    <row r="251" spans="1:4" ht="14.5" customHeight="1" x14ac:dyDescent="0.35">
      <c r="A251" s="4" t="s">
        <v>51</v>
      </c>
      <c r="B251" s="4" t="s">
        <v>14</v>
      </c>
      <c r="C251" s="4" t="str">
        <f>B245&amp;" pump"</f>
        <v>75 pump</v>
      </c>
      <c r="D251" s="4" t="s">
        <v>15</v>
      </c>
    </row>
    <row r="252" spans="1:4" ht="14.5" customHeight="1" x14ac:dyDescent="0.35"/>
    <row r="253" spans="1:4" ht="15.5" customHeight="1" x14ac:dyDescent="0.35">
      <c r="A253" s="1" t="s">
        <v>118</v>
      </c>
    </row>
    <row r="254" spans="1:4" ht="14.5" customHeight="1" x14ac:dyDescent="0.35">
      <c r="A254" t="s">
        <v>0</v>
      </c>
      <c r="B254" s="2">
        <v>20</v>
      </c>
    </row>
    <row r="255" spans="1:4" ht="14.5" customHeight="1" x14ac:dyDescent="0.35">
      <c r="A255" s="3" t="s">
        <v>1</v>
      </c>
      <c r="B255" s="3" t="s">
        <v>2</v>
      </c>
      <c r="C255" s="3" t="s">
        <v>27</v>
      </c>
      <c r="D255" s="3" t="s">
        <v>4</v>
      </c>
    </row>
    <row r="256" spans="1:4" ht="14.5" customHeight="1" x14ac:dyDescent="0.35">
      <c r="A256" s="4" t="s">
        <v>28</v>
      </c>
      <c r="B256" s="4" t="s">
        <v>29</v>
      </c>
      <c r="C256" s="4" t="str">
        <f>B254&amp;" botol ("&amp;B254*100&amp;" ml)"</f>
        <v>20 botol (2000 ml)</v>
      </c>
      <c r="D256" s="4" t="s">
        <v>30</v>
      </c>
    </row>
    <row r="257" spans="1:4" ht="14.5" customHeight="1" x14ac:dyDescent="0.35">
      <c r="A257" s="4" t="s">
        <v>115</v>
      </c>
      <c r="B257" s="4" t="s">
        <v>31</v>
      </c>
      <c r="C257" s="4" t="str">
        <f>B254*0.75&amp;" ml"</f>
        <v>15 ml</v>
      </c>
      <c r="D257" s="4" t="s">
        <v>9</v>
      </c>
    </row>
    <row r="258" spans="1:4" ht="14.5" customHeight="1" x14ac:dyDescent="0.35">
      <c r="A258" s="4" t="s">
        <v>10</v>
      </c>
      <c r="B258" s="4" t="s">
        <v>137</v>
      </c>
      <c r="C258" s="4" t="str">
        <f>B254*100&amp;" ml"</f>
        <v>2000 ml</v>
      </c>
      <c r="D258" s="4" t="s">
        <v>11</v>
      </c>
    </row>
    <row r="259" spans="1:4" ht="14.5" customHeight="1" x14ac:dyDescent="0.35">
      <c r="A259" s="4" t="s">
        <v>83</v>
      </c>
      <c r="B259" s="4" t="s">
        <v>12</v>
      </c>
      <c r="C259" s="4" t="str">
        <f>B254&amp;" stiker"</f>
        <v>20 stiker</v>
      </c>
      <c r="D259" s="4" t="s">
        <v>13</v>
      </c>
    </row>
    <row r="260" spans="1:4" ht="14.5" customHeight="1" x14ac:dyDescent="0.35">
      <c r="A260" s="4" t="s">
        <v>62</v>
      </c>
      <c r="B260" s="4" t="s">
        <v>14</v>
      </c>
      <c r="C260" s="4" t="str">
        <f>B254&amp;" pump"</f>
        <v>20 pump</v>
      </c>
      <c r="D260" s="4" t="s">
        <v>15</v>
      </c>
    </row>
    <row r="261" spans="1:4" ht="14.5" customHeight="1" x14ac:dyDescent="0.35"/>
    <row r="262" spans="1:4" ht="15.5" customHeight="1" x14ac:dyDescent="0.35">
      <c r="A262" s="1" t="s">
        <v>119</v>
      </c>
    </row>
    <row r="263" spans="1:4" ht="14.5" customHeight="1" x14ac:dyDescent="0.35">
      <c r="A263" t="s">
        <v>0</v>
      </c>
      <c r="B263" s="2">
        <v>20</v>
      </c>
    </row>
    <row r="264" spans="1:4" ht="14.5" customHeight="1" x14ac:dyDescent="0.35">
      <c r="A264" s="3" t="s">
        <v>1</v>
      </c>
      <c r="B264" s="3" t="s">
        <v>2</v>
      </c>
      <c r="C264" s="3" t="s">
        <v>27</v>
      </c>
      <c r="D264" s="3" t="s">
        <v>4</v>
      </c>
    </row>
    <row r="265" spans="1:4" ht="14.5" customHeight="1" x14ac:dyDescent="0.35">
      <c r="A265" s="4" t="s">
        <v>32</v>
      </c>
      <c r="B265" s="4" t="s">
        <v>33</v>
      </c>
      <c r="C265" s="4" t="str">
        <f>B263&amp;" botol ("&amp;B263*250&amp;" ml)"</f>
        <v>20 botol (5000 ml)</v>
      </c>
      <c r="D265" s="4" t="s">
        <v>34</v>
      </c>
    </row>
    <row r="266" spans="1:4" ht="14.5" customHeight="1" x14ac:dyDescent="0.35">
      <c r="A266" s="4" t="s">
        <v>115</v>
      </c>
      <c r="B266" s="4" t="s">
        <v>31</v>
      </c>
      <c r="C266" s="4" t="str">
        <f>B263*0.75&amp;" ml"</f>
        <v>15 ml</v>
      </c>
      <c r="D266" s="4" t="s">
        <v>9</v>
      </c>
    </row>
    <row r="267" spans="1:4" ht="14.5" customHeight="1" x14ac:dyDescent="0.35">
      <c r="A267" s="4" t="s">
        <v>10</v>
      </c>
      <c r="B267" s="4" t="s">
        <v>138</v>
      </c>
      <c r="C267" s="4" t="str">
        <f>B263*250&amp;" ml"</f>
        <v>5000 ml</v>
      </c>
      <c r="D267" s="4" t="s">
        <v>11</v>
      </c>
    </row>
    <row r="268" spans="1:4" ht="14.5" customHeight="1" x14ac:dyDescent="0.35">
      <c r="A268" s="4" t="s">
        <v>84</v>
      </c>
      <c r="B268" s="4" t="s">
        <v>12</v>
      </c>
      <c r="C268" s="4" t="str">
        <f>B263&amp;" stiker"</f>
        <v>20 stiker</v>
      </c>
      <c r="D268" s="4" t="s">
        <v>13</v>
      </c>
    </row>
    <row r="269" spans="1:4" ht="14.5" customHeight="1" x14ac:dyDescent="0.35">
      <c r="A269" s="4" t="s">
        <v>53</v>
      </c>
      <c r="B269" s="4" t="s">
        <v>14</v>
      </c>
      <c r="C269" s="4" t="str">
        <f>B263&amp;" pump"</f>
        <v>20 pump</v>
      </c>
      <c r="D269" s="4" t="s">
        <v>15</v>
      </c>
    </row>
    <row r="271" spans="1:4" ht="15.5" customHeight="1" x14ac:dyDescent="0.35">
      <c r="A271" s="1" t="s">
        <v>120</v>
      </c>
    </row>
    <row r="272" spans="1:4" ht="14.5" customHeight="1" x14ac:dyDescent="0.35">
      <c r="A272" t="s">
        <v>0</v>
      </c>
      <c r="B272" s="2">
        <v>50</v>
      </c>
    </row>
    <row r="273" spans="1:4" ht="14.5" customHeight="1" x14ac:dyDescent="0.35">
      <c r="A273" s="3" t="s">
        <v>1</v>
      </c>
      <c r="B273" s="3" t="s">
        <v>2</v>
      </c>
      <c r="C273" s="3" t="s">
        <v>16</v>
      </c>
      <c r="D273" s="3" t="s">
        <v>4</v>
      </c>
    </row>
    <row r="274" spans="1:4" ht="14.5" customHeight="1" x14ac:dyDescent="0.35">
      <c r="A274" s="4" t="s">
        <v>5</v>
      </c>
      <c r="B274" s="4" t="s">
        <v>6</v>
      </c>
      <c r="C274" s="4" t="str">
        <f>B272&amp;" botol ("&amp;B272*10&amp;" ml)"</f>
        <v>50 botol (500 ml)</v>
      </c>
      <c r="D274" s="4" t="s">
        <v>7</v>
      </c>
    </row>
    <row r="275" spans="1:4" ht="14.5" customHeight="1" x14ac:dyDescent="0.35">
      <c r="A275" s="4" t="s">
        <v>90</v>
      </c>
      <c r="B275" s="4" t="s">
        <v>35</v>
      </c>
      <c r="C275" s="4" t="str">
        <f>B272*0.1&amp;" ml"</f>
        <v>5 ml</v>
      </c>
      <c r="D275" s="4" t="s">
        <v>9</v>
      </c>
    </row>
    <row r="276" spans="1:4" ht="14.5" customHeight="1" x14ac:dyDescent="0.35">
      <c r="A276" s="4" t="s">
        <v>10</v>
      </c>
      <c r="B276" s="4" t="s">
        <v>134</v>
      </c>
      <c r="C276" s="4" t="str">
        <f>B272*10&amp;" ml"</f>
        <v>500 ml</v>
      </c>
      <c r="D276" s="4" t="s">
        <v>11</v>
      </c>
    </row>
    <row r="277" spans="1:4" ht="14.5" customHeight="1" x14ac:dyDescent="0.35">
      <c r="A277" s="4" t="s">
        <v>54</v>
      </c>
      <c r="B277" s="4" t="s">
        <v>12</v>
      </c>
      <c r="C277" s="4" t="str">
        <f>B272&amp;" stiker"</f>
        <v>50 stiker</v>
      </c>
      <c r="D277" s="4" t="s">
        <v>13</v>
      </c>
    </row>
    <row r="278" spans="1:4" ht="14.5" customHeight="1" x14ac:dyDescent="0.35">
      <c r="A278" s="4" t="s">
        <v>50</v>
      </c>
      <c r="B278" s="4" t="s">
        <v>14</v>
      </c>
      <c r="C278" s="4" t="str">
        <f>B272&amp;" pump"</f>
        <v>50 pump</v>
      </c>
      <c r="D278" s="4" t="s">
        <v>15</v>
      </c>
    </row>
    <row r="279" spans="1:4" ht="14.5" customHeight="1" x14ac:dyDescent="0.35"/>
    <row r="280" spans="1:4" ht="15.5" customHeight="1" x14ac:dyDescent="0.35">
      <c r="A280" s="1" t="s">
        <v>121</v>
      </c>
    </row>
    <row r="281" spans="1:4" ht="14.5" customHeight="1" x14ac:dyDescent="0.35">
      <c r="A281" t="s">
        <v>0</v>
      </c>
      <c r="B281" s="2">
        <v>50</v>
      </c>
    </row>
    <row r="282" spans="1:4" ht="14.5" customHeight="1" x14ac:dyDescent="0.35">
      <c r="A282" s="3" t="s">
        <v>1</v>
      </c>
      <c r="B282" s="3" t="s">
        <v>2</v>
      </c>
      <c r="C282" s="3" t="s">
        <v>16</v>
      </c>
      <c r="D282" s="3" t="s">
        <v>4</v>
      </c>
    </row>
    <row r="283" spans="1:4" ht="14.5" customHeight="1" x14ac:dyDescent="0.35">
      <c r="A283" s="4" t="s">
        <v>17</v>
      </c>
      <c r="B283" s="4" t="s">
        <v>18</v>
      </c>
      <c r="C283" s="4" t="str">
        <f>B281&amp;" botol ("&amp;B281*15&amp;" ml)"</f>
        <v>50 botol (750 ml)</v>
      </c>
      <c r="D283" s="4" t="s">
        <v>19</v>
      </c>
    </row>
    <row r="284" spans="1:4" ht="14.5" customHeight="1" x14ac:dyDescent="0.35">
      <c r="A284" s="4" t="s">
        <v>90</v>
      </c>
      <c r="B284" s="4" t="s">
        <v>35</v>
      </c>
      <c r="C284" s="4" t="str">
        <f>B281*0.1&amp;" ml"</f>
        <v>5 ml</v>
      </c>
      <c r="D284" s="4" t="s">
        <v>9</v>
      </c>
    </row>
    <row r="285" spans="1:4" ht="14.5" customHeight="1" x14ac:dyDescent="0.35">
      <c r="A285" s="4" t="s">
        <v>10</v>
      </c>
      <c r="B285" s="4" t="s">
        <v>135</v>
      </c>
      <c r="C285" s="4" t="str">
        <f>B281*15&amp;" ml"</f>
        <v>750 ml</v>
      </c>
      <c r="D285" s="4" t="s">
        <v>11</v>
      </c>
    </row>
    <row r="286" spans="1:4" ht="14.5" customHeight="1" x14ac:dyDescent="0.35">
      <c r="A286" s="4" t="s">
        <v>59</v>
      </c>
      <c r="B286" s="4" t="s">
        <v>12</v>
      </c>
      <c r="C286" s="4" t="str">
        <f>B281&amp;" stiker"</f>
        <v>50 stiker</v>
      </c>
      <c r="D286" s="4" t="s">
        <v>13</v>
      </c>
    </row>
    <row r="287" spans="1:4" ht="14.5" customHeight="1" x14ac:dyDescent="0.35">
      <c r="A287" s="4" t="s">
        <v>48</v>
      </c>
      <c r="B287" s="4" t="s">
        <v>14</v>
      </c>
      <c r="C287" s="4" t="str">
        <f>B281&amp;" pump"</f>
        <v>50 pump</v>
      </c>
      <c r="D287" s="4" t="s">
        <v>15</v>
      </c>
    </row>
    <row r="288" spans="1:4" ht="14.5" customHeight="1" x14ac:dyDescent="0.35"/>
    <row r="289" spans="1:4" ht="15.5" customHeight="1" x14ac:dyDescent="0.35">
      <c r="A289" s="1" t="s">
        <v>122</v>
      </c>
    </row>
    <row r="290" spans="1:4" ht="14.5" customHeight="1" x14ac:dyDescent="0.35">
      <c r="A290" t="s">
        <v>0</v>
      </c>
      <c r="B290" s="2">
        <v>33</v>
      </c>
    </row>
    <row r="291" spans="1:4" ht="14.5" customHeight="1" x14ac:dyDescent="0.35">
      <c r="A291" s="3" t="s">
        <v>1</v>
      </c>
      <c r="B291" s="3" t="s">
        <v>2</v>
      </c>
      <c r="C291" s="3" t="s">
        <v>43</v>
      </c>
      <c r="D291" s="3" t="s">
        <v>4</v>
      </c>
    </row>
    <row r="292" spans="1:4" ht="14.5" customHeight="1" x14ac:dyDescent="0.35">
      <c r="A292" s="4" t="s">
        <v>22</v>
      </c>
      <c r="B292" s="4" t="s">
        <v>23</v>
      </c>
      <c r="C292" s="4" t="str">
        <f>B290&amp;" botol ("&amp;B290*30&amp;" ml)"</f>
        <v>33 botol (990 ml)</v>
      </c>
      <c r="D292" s="4" t="s">
        <v>24</v>
      </c>
    </row>
    <row r="293" spans="1:4" ht="14.5" customHeight="1" x14ac:dyDescent="0.35">
      <c r="A293" s="4" t="s">
        <v>90</v>
      </c>
      <c r="B293" s="4" t="s">
        <v>8</v>
      </c>
      <c r="C293" s="4" t="str">
        <f>B290*0.15&amp;" ml"</f>
        <v>4,95 ml</v>
      </c>
      <c r="D293" s="4" t="s">
        <v>9</v>
      </c>
    </row>
    <row r="294" spans="1:4" ht="14.5" customHeight="1" x14ac:dyDescent="0.35">
      <c r="A294" s="4" t="s">
        <v>10</v>
      </c>
      <c r="B294" s="4" t="s">
        <v>136</v>
      </c>
      <c r="C294" s="4" t="str">
        <f>B290*30&amp;" ml"</f>
        <v>990 ml</v>
      </c>
      <c r="D294" s="4" t="s">
        <v>11</v>
      </c>
    </row>
    <row r="295" spans="1:4" ht="14.5" customHeight="1" x14ac:dyDescent="0.35">
      <c r="A295" s="4" t="s">
        <v>60</v>
      </c>
      <c r="B295" s="4" t="s">
        <v>12</v>
      </c>
      <c r="C295" s="4" t="str">
        <f>B290&amp;" stiker"</f>
        <v>33 stiker</v>
      </c>
      <c r="D295" s="4" t="s">
        <v>13</v>
      </c>
    </row>
    <row r="296" spans="1:4" ht="14.5" customHeight="1" x14ac:dyDescent="0.35">
      <c r="A296" s="4" t="s">
        <v>51</v>
      </c>
      <c r="B296" s="4" t="s">
        <v>14</v>
      </c>
      <c r="C296" s="4" t="str">
        <f>B290&amp;" pump"</f>
        <v>33 pump</v>
      </c>
      <c r="D296" s="4" t="s">
        <v>15</v>
      </c>
    </row>
    <row r="297" spans="1:4" ht="14.5" customHeight="1" x14ac:dyDescent="0.35"/>
    <row r="298" spans="1:4" ht="15.5" customHeight="1" x14ac:dyDescent="0.35">
      <c r="A298" s="1" t="s">
        <v>123</v>
      </c>
    </row>
    <row r="299" spans="1:4" ht="14.5" customHeight="1" x14ac:dyDescent="0.35">
      <c r="A299" t="s">
        <v>0</v>
      </c>
      <c r="B299" s="2">
        <v>20</v>
      </c>
    </row>
    <row r="300" spans="1:4" ht="14.5" customHeight="1" x14ac:dyDescent="0.35">
      <c r="A300" s="3" t="s">
        <v>1</v>
      </c>
      <c r="B300" s="3" t="s">
        <v>2</v>
      </c>
      <c r="C300" s="3" t="s">
        <v>27</v>
      </c>
      <c r="D300" s="3" t="s">
        <v>4</v>
      </c>
    </row>
    <row r="301" spans="1:4" ht="14.5" customHeight="1" x14ac:dyDescent="0.35">
      <c r="A301" s="4" t="s">
        <v>28</v>
      </c>
      <c r="B301" s="4" t="s">
        <v>29</v>
      </c>
      <c r="C301" s="4" t="str">
        <f>B299&amp;" botol ("&amp;B299*100&amp;" ml)"</f>
        <v>20 botol (2000 ml)</v>
      </c>
      <c r="D301" s="4" t="s">
        <v>30</v>
      </c>
    </row>
    <row r="302" spans="1:4" ht="14.5" customHeight="1" x14ac:dyDescent="0.35">
      <c r="A302" s="4" t="s">
        <v>90</v>
      </c>
      <c r="B302" s="4" t="s">
        <v>44</v>
      </c>
      <c r="C302" s="4" t="str">
        <f>B299*0.25&amp;" ml"</f>
        <v>5 ml</v>
      </c>
      <c r="D302" s="4" t="s">
        <v>9</v>
      </c>
    </row>
    <row r="303" spans="1:4" ht="14.5" customHeight="1" x14ac:dyDescent="0.35">
      <c r="A303" s="4" t="s">
        <v>10</v>
      </c>
      <c r="B303" s="4" t="s">
        <v>137</v>
      </c>
      <c r="C303" s="4" t="str">
        <f>B299*100&amp;" ml"</f>
        <v>2000 ml</v>
      </c>
      <c r="D303" s="4" t="s">
        <v>11</v>
      </c>
    </row>
    <row r="304" spans="1:4" ht="14.5" customHeight="1" x14ac:dyDescent="0.35">
      <c r="A304" s="4" t="s">
        <v>61</v>
      </c>
      <c r="B304" s="4" t="s">
        <v>12</v>
      </c>
      <c r="C304" s="4" t="str">
        <f>B299&amp;" stiker"</f>
        <v>20 stiker</v>
      </c>
      <c r="D304" s="4" t="s">
        <v>13</v>
      </c>
    </row>
    <row r="305" spans="1:4" ht="14.5" customHeight="1" x14ac:dyDescent="0.35">
      <c r="A305" s="4" t="s">
        <v>62</v>
      </c>
      <c r="B305" s="4" t="s">
        <v>14</v>
      </c>
      <c r="C305" s="4" t="str">
        <f>B299&amp;" pump"</f>
        <v>20 pump</v>
      </c>
      <c r="D305" s="4" t="s">
        <v>15</v>
      </c>
    </row>
    <row r="306" spans="1:4" ht="14.5" customHeight="1" x14ac:dyDescent="0.35"/>
    <row r="307" spans="1:4" ht="15.5" customHeight="1" x14ac:dyDescent="0.35">
      <c r="A307" s="1" t="s">
        <v>124</v>
      </c>
    </row>
    <row r="308" spans="1:4" ht="14.5" customHeight="1" x14ac:dyDescent="0.35">
      <c r="A308" t="s">
        <v>0</v>
      </c>
      <c r="B308" s="2">
        <v>20</v>
      </c>
    </row>
    <row r="309" spans="1:4" ht="14.5" customHeight="1" x14ac:dyDescent="0.35">
      <c r="A309" s="3" t="s">
        <v>1</v>
      </c>
      <c r="B309" s="3" t="s">
        <v>2</v>
      </c>
      <c r="C309" s="3" t="s">
        <v>27</v>
      </c>
      <c r="D309" s="3" t="s">
        <v>4</v>
      </c>
    </row>
    <row r="310" spans="1:4" ht="14.5" customHeight="1" x14ac:dyDescent="0.35">
      <c r="A310" s="4" t="s">
        <v>32</v>
      </c>
      <c r="B310" s="4" t="s">
        <v>33</v>
      </c>
      <c r="C310" s="4" t="str">
        <f>B308&amp;" botol ("&amp;B308*250&amp;" ml)"</f>
        <v>20 botol (5000 ml)</v>
      </c>
      <c r="D310" s="4" t="s">
        <v>34</v>
      </c>
    </row>
    <row r="311" spans="1:4" ht="14.5" customHeight="1" x14ac:dyDescent="0.35">
      <c r="A311" s="4" t="s">
        <v>90</v>
      </c>
      <c r="B311" s="4" t="s">
        <v>44</v>
      </c>
      <c r="C311" s="4" t="str">
        <f>B308*0.25&amp;" ml"</f>
        <v>5 ml</v>
      </c>
      <c r="D311" s="4" t="s">
        <v>9</v>
      </c>
    </row>
    <row r="312" spans="1:4" ht="14.5" customHeight="1" x14ac:dyDescent="0.35">
      <c r="A312" s="4" t="s">
        <v>10</v>
      </c>
      <c r="B312" s="4" t="s">
        <v>138</v>
      </c>
      <c r="C312" s="4" t="str">
        <f>B308*250&amp;" ml"</f>
        <v>5000 ml</v>
      </c>
      <c r="D312" s="4" t="s">
        <v>11</v>
      </c>
    </row>
    <row r="313" spans="1:4" ht="14.5" customHeight="1" x14ac:dyDescent="0.35">
      <c r="A313" s="4" t="s">
        <v>63</v>
      </c>
      <c r="B313" s="4" t="s">
        <v>12</v>
      </c>
      <c r="C313" s="4" t="str">
        <f>B308&amp;" stiker"</f>
        <v>20 stiker</v>
      </c>
      <c r="D313" s="4" t="s">
        <v>13</v>
      </c>
    </row>
    <row r="314" spans="1:4" ht="14.5" customHeight="1" x14ac:dyDescent="0.35">
      <c r="A314" s="4" t="s">
        <v>53</v>
      </c>
      <c r="B314" s="4" t="s">
        <v>14</v>
      </c>
      <c r="C314" s="4" t="str">
        <f>B308&amp;" pump"</f>
        <v>20 pump</v>
      </c>
      <c r="D314" s="4" t="s">
        <v>15</v>
      </c>
    </row>
    <row r="316" spans="1:4" ht="15.5" x14ac:dyDescent="0.35">
      <c r="A316" s="1" t="s">
        <v>125</v>
      </c>
    </row>
    <row r="317" spans="1:4" x14ac:dyDescent="0.35">
      <c r="A317" t="s">
        <v>0</v>
      </c>
      <c r="B317" s="2">
        <v>150</v>
      </c>
    </row>
    <row r="318" spans="1:4" x14ac:dyDescent="0.35">
      <c r="A318" s="3" t="s">
        <v>1</v>
      </c>
      <c r="B318" s="3" t="s">
        <v>2</v>
      </c>
      <c r="C318" s="3" t="s">
        <v>40</v>
      </c>
      <c r="D318" s="3" t="s">
        <v>4</v>
      </c>
    </row>
    <row r="319" spans="1:4" x14ac:dyDescent="0.35">
      <c r="A319" s="4" t="s">
        <v>5</v>
      </c>
      <c r="B319" s="4" t="s">
        <v>6</v>
      </c>
      <c r="C319" s="4" t="str">
        <f>B317&amp;" botol ("&amp;B317*10&amp;" ml)"</f>
        <v>150 botol (1500 ml)</v>
      </c>
      <c r="D319" s="4" t="s">
        <v>7</v>
      </c>
    </row>
    <row r="320" spans="1:4" x14ac:dyDescent="0.35">
      <c r="A320" s="4" t="s">
        <v>109</v>
      </c>
      <c r="B320" s="4" t="s">
        <v>35</v>
      </c>
      <c r="C320" s="4" t="str">
        <f>B317*0.1&amp;" ml"</f>
        <v>15 ml</v>
      </c>
      <c r="D320" s="4" t="s">
        <v>9</v>
      </c>
    </row>
    <row r="321" spans="1:4" x14ac:dyDescent="0.35">
      <c r="A321" s="4" t="s">
        <v>10</v>
      </c>
      <c r="B321" s="4" t="s">
        <v>134</v>
      </c>
      <c r="C321" s="4" t="str">
        <f>B317*10&amp;" ml"</f>
        <v>1500 ml</v>
      </c>
      <c r="D321" s="4" t="s">
        <v>11</v>
      </c>
    </row>
    <row r="322" spans="1:4" x14ac:dyDescent="0.35">
      <c r="A322" s="4" t="s">
        <v>74</v>
      </c>
      <c r="B322" s="4" t="s">
        <v>12</v>
      </c>
      <c r="C322" s="4" t="str">
        <f>B317&amp;" stiker"</f>
        <v>150 stiker</v>
      </c>
      <c r="D322" s="4" t="s">
        <v>13</v>
      </c>
    </row>
    <row r="323" spans="1:4" x14ac:dyDescent="0.35">
      <c r="A323" s="4" t="s">
        <v>50</v>
      </c>
      <c r="B323" s="4" t="s">
        <v>14</v>
      </c>
      <c r="C323" s="4" t="str">
        <f>B317&amp;" pump"</f>
        <v>150 pump</v>
      </c>
      <c r="D323" s="4" t="s">
        <v>15</v>
      </c>
    </row>
    <row r="325" spans="1:4" ht="15.5" x14ac:dyDescent="0.35">
      <c r="A325" s="1" t="s">
        <v>126</v>
      </c>
    </row>
    <row r="326" spans="1:4" x14ac:dyDescent="0.35">
      <c r="A326" t="s">
        <v>0</v>
      </c>
      <c r="B326" s="2">
        <v>150</v>
      </c>
    </row>
    <row r="327" spans="1:4" x14ac:dyDescent="0.35">
      <c r="A327" s="3" t="s">
        <v>1</v>
      </c>
      <c r="B327" s="3" t="s">
        <v>2</v>
      </c>
      <c r="C327" s="3" t="s">
        <v>40</v>
      </c>
      <c r="D327" s="3" t="s">
        <v>4</v>
      </c>
    </row>
    <row r="328" spans="1:4" x14ac:dyDescent="0.35">
      <c r="A328" s="4" t="s">
        <v>17</v>
      </c>
      <c r="B328" s="4" t="s">
        <v>18</v>
      </c>
      <c r="C328" s="4" t="str">
        <f>B326&amp;" botol ("&amp;B326*15&amp;" ml)"</f>
        <v>150 botol (2250 ml)</v>
      </c>
      <c r="D328" s="4" t="s">
        <v>19</v>
      </c>
    </row>
    <row r="329" spans="1:4" x14ac:dyDescent="0.35">
      <c r="A329" s="4" t="s">
        <v>109</v>
      </c>
      <c r="B329" s="4" t="s">
        <v>35</v>
      </c>
      <c r="C329" s="4" t="str">
        <f>B326*0.1&amp;" ml"</f>
        <v>15 ml</v>
      </c>
      <c r="D329" s="4" t="s">
        <v>9</v>
      </c>
    </row>
    <row r="330" spans="1:4" x14ac:dyDescent="0.35">
      <c r="A330" s="4" t="s">
        <v>10</v>
      </c>
      <c r="B330" s="4" t="s">
        <v>135</v>
      </c>
      <c r="C330" s="4" t="str">
        <f>B326*15&amp;" ml"</f>
        <v>2250 ml</v>
      </c>
      <c r="D330" s="4" t="s">
        <v>11</v>
      </c>
    </row>
    <row r="331" spans="1:4" x14ac:dyDescent="0.35">
      <c r="A331" s="4" t="s">
        <v>76</v>
      </c>
      <c r="B331" s="4" t="s">
        <v>12</v>
      </c>
      <c r="C331" s="4" t="str">
        <f>B326&amp;" stiker"</f>
        <v>150 stiker</v>
      </c>
      <c r="D331" s="4" t="s">
        <v>13</v>
      </c>
    </row>
    <row r="332" spans="1:4" x14ac:dyDescent="0.35">
      <c r="A332" s="4" t="s">
        <v>48</v>
      </c>
      <c r="B332" s="4" t="s">
        <v>14</v>
      </c>
      <c r="C332" s="4" t="str">
        <f>B326&amp;" pump"</f>
        <v>150 pump</v>
      </c>
      <c r="D332" s="4" t="s">
        <v>15</v>
      </c>
    </row>
    <row r="334" spans="1:4" ht="15.5" x14ac:dyDescent="0.35">
      <c r="A334" s="1" t="s">
        <v>127</v>
      </c>
    </row>
    <row r="335" spans="1:4" x14ac:dyDescent="0.35">
      <c r="A335" t="s">
        <v>0</v>
      </c>
      <c r="B335" s="2">
        <v>75</v>
      </c>
    </row>
    <row r="336" spans="1:4" x14ac:dyDescent="0.35">
      <c r="A336" s="3" t="s">
        <v>1</v>
      </c>
      <c r="B336" s="3" t="s">
        <v>2</v>
      </c>
      <c r="C336" s="3" t="s">
        <v>41</v>
      </c>
      <c r="D336" s="3" t="s">
        <v>4</v>
      </c>
    </row>
    <row r="337" spans="1:4" x14ac:dyDescent="0.35">
      <c r="A337" s="4" t="s">
        <v>22</v>
      </c>
      <c r="B337" s="4" t="s">
        <v>23</v>
      </c>
      <c r="C337" s="4" t="str">
        <f>B335&amp;" botol ("&amp;B335*30&amp;" ml)"</f>
        <v>75 botol (2250 ml)</v>
      </c>
      <c r="D337" s="4" t="s">
        <v>24</v>
      </c>
    </row>
    <row r="338" spans="1:4" x14ac:dyDescent="0.35">
      <c r="A338" s="4" t="s">
        <v>109</v>
      </c>
      <c r="B338" s="4" t="s">
        <v>36</v>
      </c>
      <c r="C338" s="4" t="str">
        <f>B335*0.2&amp;" ml"</f>
        <v>15 ml</v>
      </c>
      <c r="D338" s="4" t="s">
        <v>9</v>
      </c>
    </row>
    <row r="339" spans="1:4" x14ac:dyDescent="0.35">
      <c r="A339" s="4" t="s">
        <v>10</v>
      </c>
      <c r="B339" s="4" t="s">
        <v>136</v>
      </c>
      <c r="C339" s="4" t="str">
        <f>B335*30&amp;" ml"</f>
        <v>2250 ml</v>
      </c>
      <c r="D339" s="4" t="s">
        <v>11</v>
      </c>
    </row>
    <row r="340" spans="1:4" x14ac:dyDescent="0.35">
      <c r="A340" s="4" t="s">
        <v>77</v>
      </c>
      <c r="B340" s="4" t="s">
        <v>12</v>
      </c>
      <c r="C340" s="4" t="str">
        <f>B335&amp;" stiker"</f>
        <v>75 stiker</v>
      </c>
      <c r="D340" s="4" t="s">
        <v>13</v>
      </c>
    </row>
    <row r="341" spans="1:4" x14ac:dyDescent="0.35">
      <c r="A341" s="4" t="s">
        <v>51</v>
      </c>
      <c r="B341" s="4" t="s">
        <v>14</v>
      </c>
      <c r="C341" s="4" t="str">
        <f>B335&amp;" pump"</f>
        <v>75 pump</v>
      </c>
      <c r="D341" s="4" t="s">
        <v>15</v>
      </c>
    </row>
    <row r="343" spans="1:4" ht="15.5" x14ac:dyDescent="0.35">
      <c r="A343" s="1" t="s">
        <v>128</v>
      </c>
    </row>
    <row r="344" spans="1:4" x14ac:dyDescent="0.35">
      <c r="A344" t="s">
        <v>0</v>
      </c>
      <c r="B344" s="2">
        <v>20</v>
      </c>
    </row>
    <row r="345" spans="1:4" x14ac:dyDescent="0.35">
      <c r="A345" s="3" t="s">
        <v>1</v>
      </c>
      <c r="B345" s="3" t="s">
        <v>2</v>
      </c>
      <c r="C345" s="3" t="s">
        <v>27</v>
      </c>
      <c r="D345" s="3" t="s">
        <v>4</v>
      </c>
    </row>
    <row r="346" spans="1:4" x14ac:dyDescent="0.35">
      <c r="A346" s="4" t="s">
        <v>28</v>
      </c>
      <c r="B346" s="4" t="s">
        <v>29</v>
      </c>
      <c r="C346" s="4" t="str">
        <f>B344&amp;" botol ("&amp;B344*100&amp;" ml)"</f>
        <v>20 botol (2000 ml)</v>
      </c>
      <c r="D346" s="4" t="s">
        <v>30</v>
      </c>
    </row>
    <row r="347" spans="1:4" x14ac:dyDescent="0.35">
      <c r="A347" s="4" t="s">
        <v>109</v>
      </c>
      <c r="B347" s="4" t="s">
        <v>31</v>
      </c>
      <c r="C347" s="4" t="str">
        <f>B344*0.75&amp;" ml"</f>
        <v>15 ml</v>
      </c>
      <c r="D347" s="4" t="s">
        <v>9</v>
      </c>
    </row>
    <row r="348" spans="1:4" x14ac:dyDescent="0.35">
      <c r="A348" s="4" t="s">
        <v>10</v>
      </c>
      <c r="B348" s="4" t="s">
        <v>137</v>
      </c>
      <c r="C348" s="4" t="str">
        <f>B344*100&amp;" ml"</f>
        <v>2000 ml</v>
      </c>
      <c r="D348" s="4" t="s">
        <v>11</v>
      </c>
    </row>
    <row r="349" spans="1:4" x14ac:dyDescent="0.35">
      <c r="A349" s="4" t="s">
        <v>78</v>
      </c>
      <c r="B349" s="4" t="s">
        <v>12</v>
      </c>
      <c r="C349" s="4" t="str">
        <f>B344&amp;" stiker"</f>
        <v>20 stiker</v>
      </c>
      <c r="D349" s="4" t="s">
        <v>13</v>
      </c>
    </row>
    <row r="350" spans="1:4" x14ac:dyDescent="0.35">
      <c r="A350" s="4" t="s">
        <v>52</v>
      </c>
      <c r="B350" s="4" t="s">
        <v>14</v>
      </c>
      <c r="C350" s="4" t="str">
        <f>B344&amp;" pump"</f>
        <v>20 pump</v>
      </c>
      <c r="D350" s="4" t="s">
        <v>15</v>
      </c>
    </row>
    <row r="352" spans="1:4" ht="15.5" x14ac:dyDescent="0.35">
      <c r="A352" s="1" t="s">
        <v>129</v>
      </c>
    </row>
    <row r="353" spans="1:4" x14ac:dyDescent="0.35">
      <c r="A353" t="s">
        <v>0</v>
      </c>
      <c r="B353" s="2">
        <v>20</v>
      </c>
    </row>
    <row r="354" spans="1:4" x14ac:dyDescent="0.35">
      <c r="A354" s="3" t="s">
        <v>1</v>
      </c>
      <c r="B354" s="3" t="s">
        <v>2</v>
      </c>
      <c r="C354" s="3" t="s">
        <v>27</v>
      </c>
      <c r="D354" s="3" t="s">
        <v>4</v>
      </c>
    </row>
    <row r="355" spans="1:4" x14ac:dyDescent="0.35">
      <c r="A355" s="4" t="s">
        <v>32</v>
      </c>
      <c r="B355" s="4" t="s">
        <v>33</v>
      </c>
      <c r="C355" s="4" t="str">
        <f>B353&amp;" botol ("&amp;B353*250&amp;" ml)"</f>
        <v>20 botol (5000 ml)</v>
      </c>
      <c r="D355" s="4" t="s">
        <v>34</v>
      </c>
    </row>
    <row r="356" spans="1:4" x14ac:dyDescent="0.35">
      <c r="A356" s="4" t="s">
        <v>109</v>
      </c>
      <c r="B356" s="4" t="s">
        <v>31</v>
      </c>
      <c r="C356" s="4" t="str">
        <f>B353*0.75&amp;" ml"</f>
        <v>15 ml</v>
      </c>
      <c r="D356" s="4" t="s">
        <v>9</v>
      </c>
    </row>
    <row r="357" spans="1:4" x14ac:dyDescent="0.35">
      <c r="A357" s="4" t="s">
        <v>10</v>
      </c>
      <c r="B357" s="4" t="s">
        <v>138</v>
      </c>
      <c r="C357" s="4" t="str">
        <f>B353*250&amp;" ml"</f>
        <v>5000 ml</v>
      </c>
      <c r="D357" s="4" t="s">
        <v>11</v>
      </c>
    </row>
    <row r="358" spans="1:4" x14ac:dyDescent="0.35">
      <c r="A358" s="4" t="s">
        <v>79</v>
      </c>
      <c r="B358" s="4" t="s">
        <v>12</v>
      </c>
      <c r="C358" s="4" t="str">
        <f>B353&amp;" stiker"</f>
        <v>20 stiker</v>
      </c>
      <c r="D358" s="4" t="s">
        <v>13</v>
      </c>
    </row>
    <row r="359" spans="1:4" x14ac:dyDescent="0.35">
      <c r="A359" s="4" t="s">
        <v>53</v>
      </c>
      <c r="B359" s="4" t="s">
        <v>14</v>
      </c>
      <c r="C359" s="4" t="str">
        <f>B353&amp;" pump"</f>
        <v>20 pump</v>
      </c>
      <c r="D359" s="4" t="s">
        <v>15</v>
      </c>
    </row>
    <row r="361" spans="1:4" ht="15.5" x14ac:dyDescent="0.35">
      <c r="A361" s="1" t="s">
        <v>130</v>
      </c>
    </row>
    <row r="362" spans="1:4" x14ac:dyDescent="0.35">
      <c r="A362" t="s">
        <v>0</v>
      </c>
      <c r="B362" s="2">
        <v>150</v>
      </c>
    </row>
    <row r="363" spans="1:4" x14ac:dyDescent="0.35">
      <c r="A363" s="3" t="s">
        <v>1</v>
      </c>
      <c r="B363" s="3" t="s">
        <v>2</v>
      </c>
      <c r="C363" s="3" t="s">
        <v>40</v>
      </c>
      <c r="D363" s="3" t="s">
        <v>4</v>
      </c>
    </row>
    <row r="364" spans="1:4" x14ac:dyDescent="0.35">
      <c r="A364" s="4" t="s">
        <v>5</v>
      </c>
      <c r="B364" s="4" t="s">
        <v>6</v>
      </c>
      <c r="C364" s="4" t="str">
        <f>B362&amp;" botol ("&amp;B362*10&amp;" ml)"</f>
        <v>150 botol (1500 ml)</v>
      </c>
      <c r="D364" s="4" t="s">
        <v>7</v>
      </c>
    </row>
    <row r="365" spans="1:4" x14ac:dyDescent="0.35">
      <c r="A365" s="4" t="s">
        <v>90</v>
      </c>
      <c r="B365" s="4" t="s">
        <v>35</v>
      </c>
      <c r="C365" s="4" t="str">
        <f>B362*0.1&amp;" ml"</f>
        <v>15 ml</v>
      </c>
      <c r="D365" s="4" t="s">
        <v>9</v>
      </c>
    </row>
    <row r="366" spans="1:4" x14ac:dyDescent="0.35">
      <c r="A366" s="4" t="s">
        <v>10</v>
      </c>
      <c r="B366" s="4" t="s">
        <v>134</v>
      </c>
      <c r="C366" s="4" t="str">
        <f>B362*10&amp;" ml"</f>
        <v>1500 ml</v>
      </c>
      <c r="D366" s="4" t="s">
        <v>11</v>
      </c>
    </row>
    <row r="367" spans="1:4" x14ac:dyDescent="0.35">
      <c r="A367" s="4" t="s">
        <v>54</v>
      </c>
      <c r="B367" s="4" t="s">
        <v>12</v>
      </c>
      <c r="C367" s="4" t="str">
        <f>B362&amp;" stiker"</f>
        <v>150 stiker</v>
      </c>
      <c r="D367" s="4" t="s">
        <v>13</v>
      </c>
    </row>
    <row r="368" spans="1:4" x14ac:dyDescent="0.35">
      <c r="A368" s="4" t="s">
        <v>50</v>
      </c>
      <c r="B368" s="4" t="s">
        <v>14</v>
      </c>
      <c r="C368" s="4" t="str">
        <f>B362&amp;" pump"</f>
        <v>150 pump</v>
      </c>
      <c r="D368" s="4" t="s">
        <v>15</v>
      </c>
    </row>
    <row r="370" spans="1:4" ht="15.5" x14ac:dyDescent="0.35">
      <c r="A370" s="1" t="s">
        <v>131</v>
      </c>
    </row>
    <row r="371" spans="1:4" x14ac:dyDescent="0.35">
      <c r="A371" t="s">
        <v>0</v>
      </c>
      <c r="B371" s="2">
        <v>50</v>
      </c>
    </row>
    <row r="372" spans="1:4" x14ac:dyDescent="0.35">
      <c r="A372" s="3" t="s">
        <v>1</v>
      </c>
      <c r="B372" s="3" t="s">
        <v>2</v>
      </c>
      <c r="C372" s="3" t="s">
        <v>16</v>
      </c>
      <c r="D372" s="3" t="s">
        <v>4</v>
      </c>
    </row>
    <row r="373" spans="1:4" x14ac:dyDescent="0.35">
      <c r="A373" s="4" t="s">
        <v>22</v>
      </c>
      <c r="B373" s="4" t="s">
        <v>23</v>
      </c>
      <c r="C373" s="4" t="str">
        <f>B371&amp;" botol ("&amp;B371*30&amp;" ml)"</f>
        <v>50 botol (1500 ml)</v>
      </c>
      <c r="D373" s="4" t="s">
        <v>24</v>
      </c>
    </row>
    <row r="374" spans="1:4" x14ac:dyDescent="0.35">
      <c r="A374" s="4" t="s">
        <v>90</v>
      </c>
      <c r="B374" s="4" t="s">
        <v>20</v>
      </c>
      <c r="C374" s="4" t="str">
        <f>B371*0.3&amp;" ml"</f>
        <v>15 ml</v>
      </c>
      <c r="D374" s="4" t="s">
        <v>9</v>
      </c>
    </row>
    <row r="375" spans="1:4" x14ac:dyDescent="0.35">
      <c r="A375" s="4" t="s">
        <v>10</v>
      </c>
      <c r="B375" s="4" t="s">
        <v>136</v>
      </c>
      <c r="C375" s="4" t="str">
        <f>B371*30&amp;" ml"</f>
        <v>1500 ml</v>
      </c>
      <c r="D375" s="4" t="s">
        <v>11</v>
      </c>
    </row>
    <row r="376" spans="1:4" x14ac:dyDescent="0.35">
      <c r="A376" s="4" t="s">
        <v>60</v>
      </c>
      <c r="B376" s="4" t="s">
        <v>12</v>
      </c>
      <c r="C376" s="4" t="str">
        <f>B371&amp;" stiker"</f>
        <v>50 stiker</v>
      </c>
      <c r="D376" s="4" t="s">
        <v>13</v>
      </c>
    </row>
    <row r="377" spans="1:4" x14ac:dyDescent="0.35">
      <c r="A377" s="4" t="s">
        <v>51</v>
      </c>
      <c r="B377" s="4" t="s">
        <v>14</v>
      </c>
      <c r="C377" s="4" t="str">
        <f>B371&amp;" pump"</f>
        <v>50 pump</v>
      </c>
      <c r="D377" s="4" t="s">
        <v>15</v>
      </c>
    </row>
    <row r="379" spans="1:4" ht="15.5" x14ac:dyDescent="0.35">
      <c r="A379" s="1" t="s">
        <v>132</v>
      </c>
    </row>
    <row r="380" spans="1:4" x14ac:dyDescent="0.35">
      <c r="A380" t="s">
        <v>0</v>
      </c>
      <c r="B380" s="2">
        <v>15</v>
      </c>
    </row>
    <row r="381" spans="1:4" x14ac:dyDescent="0.35">
      <c r="A381" s="3" t="s">
        <v>1</v>
      </c>
      <c r="B381" s="3" t="s">
        <v>2</v>
      </c>
      <c r="C381" s="3" t="s">
        <v>45</v>
      </c>
      <c r="D381" s="3" t="s">
        <v>4</v>
      </c>
    </row>
    <row r="382" spans="1:4" x14ac:dyDescent="0.35">
      <c r="A382" s="4" t="s">
        <v>28</v>
      </c>
      <c r="B382" s="4" t="s">
        <v>29</v>
      </c>
      <c r="C382" s="4" t="str">
        <f>B380&amp;" botol ("&amp;B380*100&amp;" ml)"</f>
        <v>15 botol (1500 ml)</v>
      </c>
      <c r="D382" s="4" t="s">
        <v>30</v>
      </c>
    </row>
    <row r="383" spans="1:4" x14ac:dyDescent="0.35">
      <c r="A383" s="4" t="s">
        <v>90</v>
      </c>
      <c r="B383" s="4" t="s">
        <v>46</v>
      </c>
      <c r="C383" s="4" t="str">
        <f>B380*1&amp;" ml"</f>
        <v>15 ml</v>
      </c>
      <c r="D383" s="4" t="s">
        <v>9</v>
      </c>
    </row>
    <row r="384" spans="1:4" x14ac:dyDescent="0.35">
      <c r="A384" s="4" t="s">
        <v>10</v>
      </c>
      <c r="B384" s="4" t="s">
        <v>137</v>
      </c>
      <c r="C384" s="4" t="str">
        <f>B380*100&amp;" ml"</f>
        <v>1500 ml</v>
      </c>
      <c r="D384" s="4" t="s">
        <v>11</v>
      </c>
    </row>
    <row r="385" spans="1:4" x14ac:dyDescent="0.35">
      <c r="A385" s="4" t="s">
        <v>61</v>
      </c>
      <c r="B385" s="4" t="s">
        <v>12</v>
      </c>
      <c r="C385" s="4" t="str">
        <f>B380&amp;" stiker"</f>
        <v>15 stiker</v>
      </c>
      <c r="D385" s="4" t="s">
        <v>13</v>
      </c>
    </row>
    <row r="386" spans="1:4" x14ac:dyDescent="0.35">
      <c r="A386" s="4" t="s">
        <v>62</v>
      </c>
      <c r="B386" s="4" t="s">
        <v>14</v>
      </c>
      <c r="C386" s="4" t="str">
        <f>B380&amp;" pump"</f>
        <v>15 pump</v>
      </c>
      <c r="D386" s="4" t="s">
        <v>15</v>
      </c>
    </row>
    <row r="388" spans="1:4" ht="15.5" x14ac:dyDescent="0.35">
      <c r="A388" s="1" t="s">
        <v>133</v>
      </c>
    </row>
    <row r="389" spans="1:4" x14ac:dyDescent="0.35">
      <c r="A389" t="s">
        <v>0</v>
      </c>
      <c r="B389" s="2">
        <v>15</v>
      </c>
    </row>
    <row r="390" spans="1:4" x14ac:dyDescent="0.35">
      <c r="A390" s="3" t="s">
        <v>1</v>
      </c>
      <c r="B390" s="3" t="s">
        <v>2</v>
      </c>
      <c r="C390" s="3" t="s">
        <v>45</v>
      </c>
      <c r="D390" s="3" t="s">
        <v>4</v>
      </c>
    </row>
    <row r="391" spans="1:4" x14ac:dyDescent="0.35">
      <c r="A391" s="4" t="s">
        <v>32</v>
      </c>
      <c r="B391" s="4" t="s">
        <v>33</v>
      </c>
      <c r="C391" s="4" t="str">
        <f>B389&amp;" botol ("&amp;B389*250&amp;" ml)"</f>
        <v>15 botol (3750 ml)</v>
      </c>
      <c r="D391" s="4" t="s">
        <v>34</v>
      </c>
    </row>
    <row r="392" spans="1:4" x14ac:dyDescent="0.35">
      <c r="A392" s="4" t="s">
        <v>90</v>
      </c>
      <c r="B392" s="4" t="s">
        <v>46</v>
      </c>
      <c r="C392" s="4" t="str">
        <f>B389*1&amp;" ml"</f>
        <v>15 ml</v>
      </c>
      <c r="D392" s="4" t="s">
        <v>9</v>
      </c>
    </row>
    <row r="393" spans="1:4" x14ac:dyDescent="0.35">
      <c r="A393" s="4" t="s">
        <v>10</v>
      </c>
      <c r="B393" s="4" t="s">
        <v>138</v>
      </c>
      <c r="C393" s="4" t="str">
        <f>B389*250&amp;" ml"</f>
        <v>3750 ml</v>
      </c>
      <c r="D393" s="4" t="s">
        <v>11</v>
      </c>
    </row>
    <row r="394" spans="1:4" x14ac:dyDescent="0.35">
      <c r="A394" s="4" t="s">
        <v>63</v>
      </c>
      <c r="B394" s="4" t="s">
        <v>12</v>
      </c>
      <c r="C394" s="4" t="str">
        <f>B389&amp;" stiker"</f>
        <v>15 stiker</v>
      </c>
      <c r="D394" s="4" t="s">
        <v>13</v>
      </c>
    </row>
    <row r="395" spans="1:4" x14ac:dyDescent="0.35">
      <c r="A395" s="4" t="s">
        <v>53</v>
      </c>
      <c r="B395" s="4" t="s">
        <v>14</v>
      </c>
      <c r="C395" s="4" t="str">
        <f>B389&amp;" pump"</f>
        <v>15 pump</v>
      </c>
      <c r="D395" s="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Per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169</cp:lastModifiedBy>
  <dcterms:created xsi:type="dcterms:W3CDTF">2026-04-01T08:34:11Z</dcterms:created>
  <dcterms:modified xsi:type="dcterms:W3CDTF">2026-04-27T06:00:30Z</dcterms:modified>
</cp:coreProperties>
</file>